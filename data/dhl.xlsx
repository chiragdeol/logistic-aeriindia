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3" documentId="8_{0EFDF9F1-C7F3-403F-9CF9-FD467742EEAE}" xr6:coauthVersionLast="47" xr6:coauthVersionMax="47" xr10:uidLastSave="{D71F4AA2-54D3-4D8B-8A45-4B98E2B4C0DB}"/>
  <bookViews>
    <workbookView xWindow="-120" yWindow="-120" windowWidth="20730" windowHeight="11040" xr2:uid="{00000000-000D-0000-FFFF-FFFF00000000}"/>
  </bookViews>
  <sheets>
    <sheet name="DHL EXP2026" sheetId="1" r:id="rId1"/>
    <sheet name="RATE CALCULATER"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8" i="2" l="1"/>
  <c r="E6" i="2" l="1"/>
  <c r="K14" i="2" l="1"/>
  <c r="E21" i="2" s="1"/>
  <c r="N6" i="2" l="1"/>
  <c r="N7" i="2" s="1"/>
  <c r="K6" i="2"/>
  <c r="K7" i="2" s="1"/>
  <c r="K8" i="2" s="1"/>
  <c r="H6" i="2"/>
  <c r="H7" i="2" s="1"/>
  <c r="H8" i="2" s="1"/>
  <c r="E7" i="2"/>
  <c r="E8" i="2" s="1"/>
  <c r="H9" i="2" l="1"/>
  <c r="K9" i="2"/>
  <c r="K10" i="2" s="1"/>
  <c r="N9" i="2"/>
  <c r="E9" i="2"/>
  <c r="E10" i="2" l="1"/>
  <c r="E11" i="2" s="1"/>
  <c r="E14" i="2" s="1"/>
  <c r="E19" i="2" s="1"/>
  <c r="N10" i="2"/>
  <c r="N11" i="2" s="1"/>
  <c r="N14" i="2" s="1"/>
  <c r="H10" i="2"/>
  <c r="H11" i="2" s="1"/>
  <c r="H14" i="2" s="1"/>
  <c r="E20" i="2" s="1"/>
</calcChain>
</file>

<file path=xl/sharedStrings.xml><?xml version="1.0" encoding="utf-8"?>
<sst xmlns="http://schemas.openxmlformats.org/spreadsheetml/2006/main" count="648" uniqueCount="385">
  <si>
    <t>DHL Express India</t>
  </si>
  <si>
    <t>DHL EXPRESS WORLDWIDE EXPORT</t>
  </si>
  <si>
    <t>DHL EXPRESS INTERNATIONAL EXPORT ZONING</t>
  </si>
  <si>
    <t xml:space="preserve"> Quickship DHL Export - 2026</t>
  </si>
  <si>
    <t>Countries &amp; Territories</t>
  </si>
  <si>
    <t>Zone</t>
  </si>
  <si>
    <r>
      <rPr>
        <b/>
        <sz val="16"/>
        <color rgb="FFC8000F"/>
        <rFont val="Calibri"/>
        <family val="2"/>
      </rPr>
      <t>Documents up to 2.0 KG</t>
    </r>
  </si>
  <si>
    <t>Afghanistan (AF)</t>
  </si>
  <si>
    <t>11</t>
  </si>
  <si>
    <t>Ecuador (EC)</t>
  </si>
  <si>
    <t>10</t>
  </si>
  <si>
    <t>Libya (LY)</t>
  </si>
  <si>
    <t>San Marino (SM)</t>
  </si>
  <si>
    <r>
      <rPr>
        <b/>
        <sz val="13"/>
        <color rgb="FF000000"/>
        <rFont val="Calibri"/>
        <family val="2"/>
      </rPr>
      <t>KG</t>
    </r>
  </si>
  <si>
    <r>
      <rPr>
        <b/>
        <sz val="13"/>
        <color rgb="FF000000"/>
        <rFont val="Calibri"/>
        <family val="2"/>
      </rPr>
      <t>Zone 1</t>
    </r>
  </si>
  <si>
    <r>
      <rPr>
        <b/>
        <sz val="13"/>
        <color rgb="FF000000"/>
        <rFont val="Calibri"/>
        <family val="2"/>
      </rPr>
      <t>Zone 2</t>
    </r>
  </si>
  <si>
    <r>
      <rPr>
        <b/>
        <sz val="13"/>
        <color rgb="FF000000"/>
        <rFont val="Calibri"/>
        <family val="2"/>
      </rPr>
      <t>Zone 3</t>
    </r>
  </si>
  <si>
    <r>
      <rPr>
        <b/>
        <sz val="13"/>
        <color rgb="FF000000"/>
        <rFont val="Calibri"/>
        <family val="2"/>
      </rPr>
      <t>Zone 4</t>
    </r>
  </si>
  <si>
    <r>
      <rPr>
        <b/>
        <sz val="13"/>
        <color rgb="FF000000"/>
        <rFont val="Calibri"/>
        <family val="2"/>
      </rPr>
      <t>Zone 5</t>
    </r>
  </si>
  <si>
    <r>
      <rPr>
        <b/>
        <sz val="13"/>
        <color rgb="FF000000"/>
        <rFont val="Calibri"/>
        <family val="2"/>
      </rPr>
      <t>Zone 6</t>
    </r>
  </si>
  <si>
    <r>
      <rPr>
        <b/>
        <sz val="13"/>
        <color rgb="FF000000"/>
        <rFont val="Calibri"/>
        <family val="2"/>
      </rPr>
      <t>Zone 7</t>
    </r>
  </si>
  <si>
    <r>
      <rPr>
        <b/>
        <sz val="13"/>
        <color rgb="FF000000"/>
        <rFont val="Calibri"/>
        <family val="2"/>
      </rPr>
      <t>Zone 8</t>
    </r>
  </si>
  <si>
    <r>
      <rPr>
        <b/>
        <sz val="13"/>
        <color rgb="FF000000"/>
        <rFont val="Calibri"/>
        <family val="2"/>
      </rPr>
      <t>Zone 9</t>
    </r>
  </si>
  <si>
    <r>
      <rPr>
        <b/>
        <sz val="13"/>
        <color rgb="FF000000"/>
        <rFont val="Calibri"/>
        <family val="2"/>
      </rPr>
      <t>Zone 10</t>
    </r>
  </si>
  <si>
    <r>
      <rPr>
        <b/>
        <sz val="13"/>
        <color rgb="FF000000"/>
        <rFont val="Calibri"/>
        <family val="2"/>
      </rPr>
      <t>Zone 11</t>
    </r>
  </si>
  <si>
    <r>
      <rPr>
        <b/>
        <sz val="13"/>
        <color rgb="FF000000"/>
        <rFont val="Calibri"/>
        <family val="2"/>
      </rPr>
      <t>Zone 12</t>
    </r>
  </si>
  <si>
    <r>
      <rPr>
        <b/>
        <sz val="13"/>
        <color rgb="FF000000"/>
        <rFont val="Calibri"/>
        <family val="2"/>
      </rPr>
      <t>Zone 13</t>
    </r>
  </si>
  <si>
    <r>
      <rPr>
        <b/>
        <sz val="13"/>
        <color rgb="FF000000"/>
        <rFont val="Calibri"/>
        <family val="2"/>
      </rPr>
      <t>Zone 14</t>
    </r>
  </si>
  <si>
    <t>Albania (AL)</t>
  </si>
  <si>
    <t>Egypt (EG)</t>
  </si>
  <si>
    <t>13</t>
  </si>
  <si>
    <t>Liechtenstein (LI)</t>
  </si>
  <si>
    <t>7</t>
  </si>
  <si>
    <t>Sao Tome And Principe (ST)</t>
  </si>
  <si>
    <t>0.5</t>
  </si>
  <si>
    <t>Algeria (DZ)</t>
  </si>
  <si>
    <t>El Salvador (SV)</t>
  </si>
  <si>
    <t>Lithuania (LT)</t>
  </si>
  <si>
    <t>8</t>
  </si>
  <si>
    <t>Saudi Arabia (SA)</t>
  </si>
  <si>
    <t>4</t>
  </si>
  <si>
    <t>1.0</t>
  </si>
  <si>
    <t>American Samoa (AS)</t>
  </si>
  <si>
    <t>9</t>
  </si>
  <si>
    <t>Eritrea (ER)</t>
  </si>
  <si>
    <t>Luxembourg (LU)</t>
  </si>
  <si>
    <t>Senegal (SN)</t>
  </si>
  <si>
    <t>1.5</t>
  </si>
  <si>
    <t>Andorra (AD)</t>
  </si>
  <si>
    <t>Estonia (EE)</t>
  </si>
  <si>
    <t>Macau SAR China (MO)</t>
  </si>
  <si>
    <t>5</t>
  </si>
  <si>
    <t>Serbia, Rep. Of (RS)</t>
  </si>
  <si>
    <t>2.0</t>
  </si>
  <si>
    <t>Angola (AO)</t>
  </si>
  <si>
    <t>Eswatini (SZ)</t>
  </si>
  <si>
    <t>Madagascar (MG)</t>
  </si>
  <si>
    <t>Seychelles (SC)</t>
  </si>
  <si>
    <t>Anguilla (AI)</t>
  </si>
  <si>
    <t>Ethiopia (ET)</t>
  </si>
  <si>
    <t>Malawi (MW)</t>
  </si>
  <si>
    <t>Sierra Leone (SL)</t>
  </si>
  <si>
    <r>
      <rPr>
        <b/>
        <sz val="16"/>
        <color rgb="FFC8000F"/>
        <rFont val="Calibri"/>
        <family val="2"/>
      </rPr>
      <t>Non-documents from 0.5 KG &amp; Documents from 2.5 KG</t>
    </r>
  </si>
  <si>
    <t>Antigua (AG)</t>
  </si>
  <si>
    <t>Falkland Islands (FK)</t>
  </si>
  <si>
    <t>Malaysia (MY)</t>
  </si>
  <si>
    <t>2</t>
  </si>
  <si>
    <t>Singapore (SG)</t>
  </si>
  <si>
    <t>Argentina (AR)</t>
  </si>
  <si>
    <t>Faroe Islands (FO)</t>
  </si>
  <si>
    <t>Maldives (MV)</t>
  </si>
  <si>
    <t>1</t>
  </si>
  <si>
    <t>Slovakia (SK)</t>
  </si>
  <si>
    <t>Armenia (AM)</t>
  </si>
  <si>
    <t>Fiji (FJ)</t>
  </si>
  <si>
    <t>Mali (ML)</t>
  </si>
  <si>
    <t>Slovenia (SI)</t>
  </si>
  <si>
    <t>Aruba (AW)</t>
  </si>
  <si>
    <t>Finland (FI)</t>
  </si>
  <si>
    <t>Malta (MT)</t>
  </si>
  <si>
    <t>Solomon Islands (SB)</t>
  </si>
  <si>
    <t>Australia (AU)</t>
  </si>
  <si>
    <t>14</t>
  </si>
  <si>
    <t>France (FR)</t>
  </si>
  <si>
    <t>Marshall Islands (MH)</t>
  </si>
  <si>
    <t>Somalia Hargeisa (XS)</t>
  </si>
  <si>
    <t>Austria (AT)</t>
  </si>
  <si>
    <t>French Guyana (GF)</t>
  </si>
  <si>
    <t>Martinique (MQ)</t>
  </si>
  <si>
    <t>Somalia Mogadishu (SO)</t>
  </si>
  <si>
    <t>2.5</t>
  </si>
  <si>
    <t>Azerbaijan (AZ)</t>
  </si>
  <si>
    <t>Gabon (GA)</t>
  </si>
  <si>
    <t>Mauritania (MR)</t>
  </si>
  <si>
    <t>South Africa (ZA)</t>
  </si>
  <si>
    <t>3.0</t>
  </si>
  <si>
    <t>Bahamas (BS)</t>
  </si>
  <si>
    <t>Gambia (GM)</t>
  </si>
  <si>
    <t>Mauritius (MU)</t>
  </si>
  <si>
    <t>South Sudan (SS)</t>
  </si>
  <si>
    <t>3.5</t>
  </si>
  <si>
    <t>Bahrain (BH)</t>
  </si>
  <si>
    <t>Georgia (GE)</t>
  </si>
  <si>
    <t>Mayotte (YT)</t>
  </si>
  <si>
    <t>Spain (ES)</t>
  </si>
  <si>
    <t>4.0</t>
  </si>
  <si>
    <t>Bangladesh (BD)</t>
  </si>
  <si>
    <t>Germany (DE)</t>
  </si>
  <si>
    <t>Mexico (MX)</t>
  </si>
  <si>
    <t>Sri Lanka (LK)</t>
  </si>
  <si>
    <t>4.5</t>
  </si>
  <si>
    <t>Barbados (BB)</t>
  </si>
  <si>
    <t>Ghana (GH)</t>
  </si>
  <si>
    <t>Micronesia (FM)</t>
  </si>
  <si>
    <t>St. Barthelemy (XY)</t>
  </si>
  <si>
    <t>5.0</t>
  </si>
  <si>
    <t>Belarus (BY)</t>
  </si>
  <si>
    <t>Gibraltar (GI)</t>
  </si>
  <si>
    <t>Moldova, Rep. Of (MD)</t>
  </si>
  <si>
    <t>St. Eustatius (XE)</t>
  </si>
  <si>
    <t>5.5</t>
  </si>
  <si>
    <t>Belgium (BE)</t>
  </si>
  <si>
    <t>Greece (GR)</t>
  </si>
  <si>
    <t>Monaco (MC)</t>
  </si>
  <si>
    <t>St. Kitts (KN)</t>
  </si>
  <si>
    <t>6.0</t>
  </si>
  <si>
    <t>Belize (BZ)</t>
  </si>
  <si>
    <t>Greenland (GL)</t>
  </si>
  <si>
    <t>Mongolia (MN)</t>
  </si>
  <si>
    <t>St. Lucia (LC)</t>
  </si>
  <si>
    <t>6.5</t>
  </si>
  <si>
    <t>Benin (BJ)</t>
  </si>
  <si>
    <t>Grenada (GD)</t>
  </si>
  <si>
    <t>Montenegro, Rep Of (ME)</t>
  </si>
  <si>
    <t>St. Maarten (XM)</t>
  </si>
  <si>
    <t>7.0</t>
  </si>
  <si>
    <t>Bermuda (BM)</t>
  </si>
  <si>
    <t>Guadeloupe (GP)</t>
  </si>
  <si>
    <t>Montserrat (MS)</t>
  </si>
  <si>
    <t>St. Vincent (VC)</t>
  </si>
  <si>
    <t>7.5</t>
  </si>
  <si>
    <t>Bhutan (BT)</t>
  </si>
  <si>
    <t>Guam (GU)</t>
  </si>
  <si>
    <t>Morocco (MA)</t>
  </si>
  <si>
    <t>Sudan (SD)</t>
  </si>
  <si>
    <t>8.0</t>
  </si>
  <si>
    <t>Bolivia (BO)</t>
  </si>
  <si>
    <t>Guatemala (GT)</t>
  </si>
  <si>
    <t>Mozambique (MZ)</t>
  </si>
  <si>
    <t>Suriname (SR)</t>
  </si>
  <si>
    <t>8.5</t>
  </si>
  <si>
    <t>Bonaire (XB)</t>
  </si>
  <si>
    <t>Guernsey (GG)</t>
  </si>
  <si>
    <t>Myanmar (MM)</t>
  </si>
  <si>
    <t>Sweden (SE)</t>
  </si>
  <si>
    <t>9.0</t>
  </si>
  <si>
    <t>Bosnia &amp; Herzegovina(BA)</t>
  </si>
  <si>
    <t>Guinea Rep. (GN)</t>
  </si>
  <si>
    <t>Namibia (NA)</t>
  </si>
  <si>
    <t>Switzerland (CH)</t>
  </si>
  <si>
    <t>9.5</t>
  </si>
  <si>
    <t>Botswana (BW)</t>
  </si>
  <si>
    <t>Guinea-Bissau (GW)</t>
  </si>
  <si>
    <t>Nauru, Rep. Of (NR)</t>
  </si>
  <si>
    <t>Syria (SY)</t>
  </si>
  <si>
    <t>10.0</t>
  </si>
  <si>
    <t>Brazil (BR)</t>
  </si>
  <si>
    <t>Guinea-Equatorial (GQ)</t>
  </si>
  <si>
    <t>Nepal (NP)</t>
  </si>
  <si>
    <t>Tahiti (PF)</t>
  </si>
  <si>
    <t>10.5</t>
  </si>
  <si>
    <t>Brunei (BN)</t>
  </si>
  <si>
    <t>Guyana (British) (GY)</t>
  </si>
  <si>
    <t>Netherlands, The (NL)</t>
  </si>
  <si>
    <t>Taiwan (TW)</t>
  </si>
  <si>
    <t>11.0</t>
  </si>
  <si>
    <t>Bulgaria (BG)</t>
  </si>
  <si>
    <t>Haiti (HT)</t>
  </si>
  <si>
    <t>Nevis (XN)</t>
  </si>
  <si>
    <t>Tajikistan (TJ)</t>
  </si>
  <si>
    <t>11.5</t>
  </si>
  <si>
    <t>Burkina Faso (BF)</t>
  </si>
  <si>
    <t>Honduras (HN)</t>
  </si>
  <si>
    <t>New Caledonia (NC)</t>
  </si>
  <si>
    <t>Tanzania (TZ)</t>
  </si>
  <si>
    <t>12.0</t>
  </si>
  <si>
    <t>Burundi (BI)</t>
  </si>
  <si>
    <t>Hong Kong SAR China (HK)</t>
  </si>
  <si>
    <t>New Zealand (NZ)</t>
  </si>
  <si>
    <t>6</t>
  </si>
  <si>
    <t>Thailand (TH)</t>
  </si>
  <si>
    <t>12.5</t>
  </si>
  <si>
    <t>Cambodia (KH)</t>
  </si>
  <si>
    <t>Hungary (HU)</t>
  </si>
  <si>
    <t>Nicaragua (NI)</t>
  </si>
  <si>
    <t>Timor-Leste (TL)</t>
  </si>
  <si>
    <t>13.0</t>
  </si>
  <si>
    <t>Cameroon (CM)</t>
  </si>
  <si>
    <t>Iceland (IS)</t>
  </si>
  <si>
    <t>Niger (NE)</t>
  </si>
  <si>
    <t>Togo (TG)</t>
  </si>
  <si>
    <t>13.5</t>
  </si>
  <si>
    <t>Canada (CA)</t>
  </si>
  <si>
    <t>Indonesia (ID)</t>
  </si>
  <si>
    <t>Nigeria (NG)</t>
  </si>
  <si>
    <t>Tonga (TO)</t>
  </si>
  <si>
    <t>14.0</t>
  </si>
  <si>
    <t>Canary Islands, The (IC)</t>
  </si>
  <si>
    <t>Iran (IR)</t>
  </si>
  <si>
    <t>Niue (NU)</t>
  </si>
  <si>
    <t>Trinidad And Tobago (TT)</t>
  </si>
  <si>
    <t>14.5</t>
  </si>
  <si>
    <t>Cape Verde (CV)</t>
  </si>
  <si>
    <t>Iraq (IQ)</t>
  </si>
  <si>
    <t>North Macedonia (MK)</t>
  </si>
  <si>
    <t>Tunisia (TN)</t>
  </si>
  <si>
    <t>15.0</t>
  </si>
  <si>
    <t>Cayman Islands (KY)</t>
  </si>
  <si>
    <t>Ireland, Rep. Of (IE)</t>
  </si>
  <si>
    <t>Northern Mariana Islands (MP)</t>
  </si>
  <si>
    <t>Turkey (TR)</t>
  </si>
  <si>
    <t>15.5</t>
  </si>
  <si>
    <t>Central African Rep(CF)</t>
  </si>
  <si>
    <t>Israel (IL)</t>
  </si>
  <si>
    <t>Norway (NO)</t>
  </si>
  <si>
    <t>Turkmenistan (TM)</t>
  </si>
  <si>
    <t>16.0</t>
  </si>
  <si>
    <t>Chad (TD)</t>
  </si>
  <si>
    <t>Italy (IT)</t>
  </si>
  <si>
    <t>Oman (OM)</t>
  </si>
  <si>
    <t>Turks &amp; Caicos (TC)</t>
  </si>
  <si>
    <t>16.5</t>
  </si>
  <si>
    <t>Chile (CL)</t>
  </si>
  <si>
    <t>Jamaica (JM)</t>
  </si>
  <si>
    <t>Pakistan (PK)</t>
  </si>
  <si>
    <t>Tuvalu (TV)</t>
  </si>
  <si>
    <t>17.0</t>
  </si>
  <si>
    <t>China (CN)</t>
  </si>
  <si>
    <t>3</t>
  </si>
  <si>
    <t>Japan (JP)</t>
  </si>
  <si>
    <t>Palau (PW)</t>
  </si>
  <si>
    <t>USA (US)</t>
  </si>
  <si>
    <t>12</t>
  </si>
  <si>
    <t>17.5</t>
  </si>
  <si>
    <t>Colombia (CO)</t>
  </si>
  <si>
    <t>Jersey (JE)</t>
  </si>
  <si>
    <t>Panama (PA)</t>
  </si>
  <si>
    <t>Uganda (UG)</t>
  </si>
  <si>
    <t>18.0</t>
  </si>
  <si>
    <t>Comoros (KM)</t>
  </si>
  <si>
    <t>Jordan (JO)</t>
  </si>
  <si>
    <t>Papua New Guinea (PG)</t>
  </si>
  <si>
    <t>Ukraine (UA)</t>
  </si>
  <si>
    <t>18.5</t>
  </si>
  <si>
    <t>Congo (CG)</t>
  </si>
  <si>
    <t>Kazakhstan (KZ)</t>
  </si>
  <si>
    <t>Paraguay (PY)</t>
  </si>
  <si>
    <t>United Arab Emirates (AE)</t>
  </si>
  <si>
    <t>19.0</t>
  </si>
  <si>
    <t>Congo, DPR (CD)</t>
  </si>
  <si>
    <t>Kenya (KE)</t>
  </si>
  <si>
    <t>Peru (PE)</t>
  </si>
  <si>
    <t>United Kingdom (GB)</t>
  </si>
  <si>
    <t>19.5</t>
  </si>
  <si>
    <t>Cook Islands (CK)</t>
  </si>
  <si>
    <t>Kiribati (KI)</t>
  </si>
  <si>
    <t>Philippines, The (PH)</t>
  </si>
  <si>
    <t>Uruguay (UY)</t>
  </si>
  <si>
    <t>20.0</t>
  </si>
  <si>
    <t>Costa Rica (CR)</t>
  </si>
  <si>
    <t>Korea, Rep. Of (KR)</t>
  </si>
  <si>
    <t>Poland (PL)</t>
  </si>
  <si>
    <t>Uzbekistan (UZ)</t>
  </si>
  <si>
    <t>21.0</t>
  </si>
  <si>
    <t>Cote D Ivoire (CI)</t>
  </si>
  <si>
    <t>Korea,  D.P.R Of (KP)</t>
  </si>
  <si>
    <t>Portugal (PT)</t>
  </si>
  <si>
    <t>Vanuatu (VU)</t>
  </si>
  <si>
    <t>22.0</t>
  </si>
  <si>
    <t>Croatia (HR)</t>
  </si>
  <si>
    <t>Kosovo (KV)</t>
  </si>
  <si>
    <t>Puerto Rico (PR)</t>
  </si>
  <si>
    <t>Vatican City (VA)</t>
  </si>
  <si>
    <t>23.0</t>
  </si>
  <si>
    <t>Cuba (CU)</t>
  </si>
  <si>
    <t>Kuwait (KW)</t>
  </si>
  <si>
    <t>Qatar (QA)</t>
  </si>
  <si>
    <t>Venezuela (VE)</t>
  </si>
  <si>
    <t>24.0</t>
  </si>
  <si>
    <t>Curacao (XC)</t>
  </si>
  <si>
    <t>Kyrgyzstan (KG)</t>
  </si>
  <si>
    <t>Reunion, Island Of (RE)</t>
  </si>
  <si>
    <t>Vietnam (VN)</t>
  </si>
  <si>
    <t>25.0</t>
  </si>
  <si>
    <t>Cyprus (CY)</t>
  </si>
  <si>
    <t>Laos (LA)</t>
  </si>
  <si>
    <t>Romania (RO)</t>
  </si>
  <si>
    <t>Virgin Islands-British (VG)</t>
  </si>
  <si>
    <t>26.0</t>
  </si>
  <si>
    <t>Czech Rep., The (CZ)</t>
  </si>
  <si>
    <t>Latvia (LV)</t>
  </si>
  <si>
    <t>Russian Federation (RU)</t>
  </si>
  <si>
    <t>Virgin Islands-US (VI)</t>
  </si>
  <si>
    <t>27.0</t>
  </si>
  <si>
    <t>Denmark (DK)</t>
  </si>
  <si>
    <t>Lebanon (LB)</t>
  </si>
  <si>
    <t>Rwanda (RW)</t>
  </si>
  <si>
    <t>Yemen, Rep. Of (YE)</t>
  </si>
  <si>
    <t>28.0</t>
  </si>
  <si>
    <t>Djibouti (DJ)</t>
  </si>
  <si>
    <t>Lesotho (LS)</t>
  </si>
  <si>
    <t>Saint Helena (SH)</t>
  </si>
  <si>
    <t>Zambia (ZM)</t>
  </si>
  <si>
    <t>29.0</t>
  </si>
  <si>
    <t>Dominica (DM)</t>
  </si>
  <si>
    <t>Liberia (LR)</t>
  </si>
  <si>
    <t>Samoa (WS)</t>
  </si>
  <si>
    <t>Zimbabwe (ZW)</t>
  </si>
  <si>
    <t>30.0</t>
  </si>
  <si>
    <t>Dominican Rep. (DO)</t>
  </si>
  <si>
    <r>
      <rPr>
        <b/>
        <sz val="14"/>
        <color rgb="FFC8000F"/>
        <rFont val="Calibri"/>
        <family val="2"/>
      </rPr>
      <t>Multiplier rate per 1 KG from 30.1 KG</t>
    </r>
  </si>
  <si>
    <r>
      <rPr>
        <b/>
        <sz val="13"/>
        <color rgb="FF000000"/>
        <rFont val="Calibri"/>
        <family val="2"/>
      </rPr>
      <t>From</t>
    </r>
  </si>
  <si>
    <r>
      <rPr>
        <b/>
        <sz val="13"/>
        <color rgb="FF000000"/>
        <rFont val="Calibri"/>
        <family val="2"/>
      </rPr>
      <t>To</t>
    </r>
  </si>
  <si>
    <t>30.1</t>
  </si>
  <si>
    <t>50</t>
  </si>
  <si>
    <t>50.1</t>
  </si>
  <si>
    <t>70</t>
  </si>
  <si>
    <t>70.1</t>
  </si>
  <si>
    <t>100</t>
  </si>
  <si>
    <t>100.1</t>
  </si>
  <si>
    <t>300</t>
  </si>
  <si>
    <t>300.1</t>
  </si>
  <si>
    <t>500</t>
  </si>
  <si>
    <t>500.1</t>
  </si>
  <si>
    <t>99,999</t>
  </si>
  <si>
    <t>Terms &amp; Conditions:-</t>
  </si>
  <si>
    <t>● Demand Surcharge, Fuel Surcharge, Go Green Surcharge &amp; Goods and Services Tax will be charged, as applicable.
● Rates are rounded up to the nearest 0.5kg or 1 kg as indicated in the rate sheet. Each piece weight is rounded up to the nearest 0.5kg.
● The Rates as set out in this rate card are valid only until December 31 of the year the Rates are quoted. The Rates are subject to a General Price Increase (GPI) effective January 1st of each year.
● All Rates stated here are in INR and are based on the shipment volumes and profiles that have been provided by the Customer. In the event of a shortfall on the projected volumes or a substantial change in the weight or destination mix, DHL reserves the right to revise the Rates at any time upon prior written notice to the Customer
● Any other levies, taxes or duties enforced by the government would be charged as applicable. For any further details on surcharges log on to dhl.co.in. Alternatively, you may call DHL Customer Service on 1 800 111 345 or contact your Account Manager
● DHL Express does not accept shipments exceeding 3,000kg, or containing pieces exceeding 1,000 kg or 300 cm length, or not meeting DHL standards for packing. Refer to Packing Guide on https://mydhl.express.dhl/index/en.html. These network restrictions are subject to change with 30 days notice.</t>
  </si>
  <si>
    <t>● Final/Chargeble Weight &amp; Additional Charges will be Consider from DHL Invoice/Terms.</t>
  </si>
  <si>
    <t>DHL</t>
  </si>
  <si>
    <t>FEDEX</t>
  </si>
  <si>
    <t>UPS</t>
  </si>
  <si>
    <t>ARAMEX</t>
  </si>
  <si>
    <t xml:space="preserve">BASE RATE </t>
  </si>
  <si>
    <t>ADD-ESS</t>
  </si>
  <si>
    <t xml:space="preserve">ADD:FS </t>
  </si>
  <si>
    <t>ADD:GST</t>
  </si>
  <si>
    <t xml:space="preserve">COSTING </t>
  </si>
  <si>
    <t>ADD-LOCAL</t>
  </si>
  <si>
    <t>MARJIN</t>
  </si>
  <si>
    <t>.</t>
  </si>
  <si>
    <t xml:space="preserve">rate  </t>
  </si>
  <si>
    <t xml:space="preserve">validity of rate </t>
  </si>
  <si>
    <t>UPS(INEXT )</t>
  </si>
  <si>
    <t>SELF*</t>
  </si>
  <si>
    <t xml:space="preserve">CUSTOM - 3540/- PER SHIPMENT IF ANY  </t>
  </si>
  <si>
    <t>DESTINATION</t>
  </si>
  <si>
    <t>ZONE</t>
  </si>
  <si>
    <t>IP/IE</t>
  </si>
  <si>
    <t>MIN.</t>
  </si>
  <si>
    <t xml:space="preserve">G , L </t>
  </si>
  <si>
    <t>USA/ MX/CA</t>
  </si>
  <si>
    <t>EUROPE</t>
  </si>
  <si>
    <t>F AND I</t>
  </si>
  <si>
    <t>APAC</t>
  </si>
  <si>
    <t>B,D,E,H</t>
  </si>
  <si>
    <t>A,C,J,K,M,N,O,P,Q</t>
  </si>
  <si>
    <t xml:space="preserve">R O W </t>
  </si>
  <si>
    <t>FEDEX- DEMAND SURCHARGE @ 05.03.2026</t>
  </si>
  <si>
    <t>ARAMEX- DEMAND SURCHARGE @ 05.03.2026</t>
  </si>
  <si>
    <t>UAE,SAUDI,OMAN,BAHAIN,QATAR</t>
  </si>
  <si>
    <t>30.04.2026</t>
  </si>
  <si>
    <t>LATE DELIVERY )</t>
  </si>
  <si>
    <t>Effective 02 April 2026 :</t>
  </si>
  <si>
    <t>* Europe (to/from India) – Surge Fee introduced at INR 92 per kg ++</t>
  </si>
  <si>
    <t>* U.S. &amp; Americas (to/from India) – Surge Fee introduced at INR 133 per kg ++</t>
  </si>
  <si>
    <t>No Change (continue as previously communicated):</t>
  </si>
  <si>
    <t>* United Arab Emirates (to/from India) – INR 302 per kg++</t>
  </si>
  <si>
    <t>* Middle East (to/from India) – INR 270 per kg++</t>
  </si>
  <si>
    <t>* Israel (to/from India) – INR 302 per kg++</t>
  </si>
  <si>
    <t>160/-</t>
  </si>
  <si>
    <t>231/-</t>
  </si>
  <si>
    <t>SHIPMENT MORE THAN -24 KGS WILL CHARGE EXTRA 3540/- PER CRTN</t>
  </si>
  <si>
    <t xml:space="preserve">FOR GULF - RS. 4680/- EXTRA BY DHL </t>
  </si>
  <si>
    <t>24.04.2026</t>
  </si>
  <si>
    <t xml:space="preserve">UK - 15 KGS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</si>
</sst>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x14ac:knownFonts="1">
    <font>
      <sz val="11"/>
      <color theme="1"/>
      <name val="Calibri"/>
      <family val="2"/>
      <scheme val="minor"/>
    </font>
    <font>
      <b/>
      <sz val="11"/>
      <color theme="1"/>
      <name val="Calibri"/>
      <family val="2"/>
      <scheme val="minor"/>
    </font>
    <font>
      <sz val="28"/>
      <color rgb="FF000000"/>
      <name val="Calibri"/>
      <family val="2"/>
    </font>
    <font>
      <sz val="14"/>
      <color rgb="FFD40511"/>
      <name val="Calibri"/>
      <family val="2"/>
    </font>
    <font>
      <b/>
      <sz val="14"/>
      <color rgb="FFD40511"/>
      <name val="Calibri"/>
      <family val="2"/>
    </font>
    <font>
      <b/>
      <sz val="18"/>
      <color theme="1"/>
      <name val="Calibri"/>
      <family val="2"/>
      <scheme val="minor"/>
    </font>
    <font>
      <b/>
      <sz val="12"/>
      <color rgb="FFC8000F"/>
      <name val="Calibri"/>
      <family val="2"/>
    </font>
    <font>
      <b/>
      <sz val="12"/>
      <color theme="1"/>
      <name val="Calibri"/>
      <family val="2"/>
      <scheme val="minor"/>
    </font>
    <font>
      <sz val="16"/>
      <color rgb="FFC8000F"/>
      <name val="Calibri"/>
      <family val="2"/>
    </font>
    <font>
      <b/>
      <sz val="16"/>
      <color rgb="FFC8000F"/>
      <name val="Calibri"/>
      <family val="2"/>
    </font>
    <font>
      <sz val="11"/>
      <name val="Calibri"/>
      <family val="2"/>
    </font>
    <font>
      <sz val="13"/>
      <color rgb="FF000000"/>
      <name val="Calibri"/>
      <family val="2"/>
    </font>
    <font>
      <b/>
      <sz val="13"/>
      <color rgb="FF000000"/>
      <name val="Calibri"/>
      <family val="2"/>
    </font>
    <font>
      <sz val="14"/>
      <color rgb="FFC8000F"/>
      <name val="Calibri"/>
      <family val="2"/>
    </font>
    <font>
      <b/>
      <sz val="14"/>
      <color rgb="FFC8000F"/>
      <name val="Calibri"/>
      <family val="2"/>
    </font>
    <font>
      <b/>
      <sz val="13.5"/>
      <color theme="1"/>
      <name val="Calibri"/>
      <family val="2"/>
      <scheme val="minor"/>
    </font>
    <font>
      <sz val="11"/>
      <color rgb="FFFF0000"/>
      <name val="Calibri"/>
      <family val="2"/>
      <scheme val="minor"/>
    </font>
    <font>
      <b/>
      <sz val="9"/>
      <color theme="1"/>
      <name val="Calibri"/>
      <family val="2"/>
      <scheme val="minor"/>
    </font>
    <font>
      <b/>
      <sz val="8"/>
      <color theme="1"/>
      <name val="Calibri"/>
      <family val="2"/>
      <scheme val="minor"/>
    </font>
    <font>
      <sz val="10"/>
      <color rgb="FF000000"/>
      <name val="Times New Roman"/>
      <family val="1"/>
    </font>
    <font>
      <sz val="9"/>
      <color theme="1"/>
      <name val="Calibri"/>
      <family val="2"/>
      <scheme val="minor"/>
    </font>
    <font>
      <sz val="10"/>
      <color rgb="FFFF0000"/>
      <name val="Times New Roman"/>
      <family val="1"/>
    </font>
    <font>
      <b/>
      <sz val="10"/>
      <color rgb="FFFF0000"/>
      <name val="Times New Roman"/>
      <family val="1"/>
    </font>
    <font>
      <b/>
      <sz val="9"/>
      <color rgb="FFFF0000"/>
      <name val="Calibri"/>
      <family val="2"/>
      <scheme val="minor"/>
    </font>
    <font>
      <b/>
      <sz val="9"/>
      <name val="Calibri"/>
      <family val="2"/>
      <scheme val="minor"/>
    </font>
    <font>
      <b/>
      <sz val="11"/>
      <color rgb="FFFF0000"/>
      <name val="Calibri"/>
      <family val="2"/>
      <scheme val="minor"/>
    </font>
    <font>
      <sz val="11"/>
      <color theme="1"/>
      <name val="Calibri"/>
      <family val="2"/>
      <scheme val="minor"/>
    </font>
    <font>
      <u/>
      <sz val="11"/>
      <color theme="10"/>
      <name val="Calibri"/>
      <family val="2"/>
      <scheme val="minor"/>
    </font>
    <font>
      <b/>
      <sz val="11"/>
      <color indexed="8"/>
      <name val="Calibri"/>
      <family val="2"/>
      <scheme val="minor"/>
    </font>
    <font>
      <b/>
      <sz val="11"/>
      <name val="Calibri"/>
      <family val="2"/>
      <scheme val="minor"/>
    </font>
    <font>
      <sz val="11"/>
      <color rgb="FF222222"/>
      <name val="Times New Roman"/>
      <family val="1"/>
    </font>
    <font>
      <sz val="10"/>
      <color rgb="FF222222"/>
      <name val="Arial"/>
      <family val="2"/>
    </font>
    <font>
      <sz val="11"/>
      <color rgb="FF222222"/>
      <name val="Calibri"/>
      <family val="2"/>
    </font>
    <font>
      <sz val="11"/>
      <name val="Calibri"/>
      <family val="2"/>
      <scheme val="minor"/>
    </font>
    <font>
      <sz val="11"/>
      <color rgb="FF545454"/>
      <name val="Arial"/>
      <family val="2"/>
    </font>
    <font>
      <b/>
      <sz val="10"/>
      <color theme="1"/>
      <name val="Calibri"/>
      <family val="2"/>
      <scheme val="minor"/>
    </font>
    <font>
      <sz val="10"/>
      <color theme="1"/>
      <name val="Calibri"/>
      <family val="2"/>
      <scheme val="minor"/>
    </font>
    <font>
      <b/>
      <sz val="10"/>
      <name val="Calibri"/>
      <family val="2"/>
      <scheme val="minor"/>
    </font>
    <font>
      <sz val="8"/>
      <color theme="1"/>
      <name val="Calibri"/>
      <family val="2"/>
      <scheme val="minor"/>
    </font>
    <font>
      <sz val="8"/>
      <color rgb="FFFF0000"/>
      <name val="Calibri"/>
      <family val="2"/>
      <scheme val="minor"/>
    </font>
    <font>
      <b/>
      <sz val="11"/>
      <color indexed="8"/>
      <name val="Calibri"/>
      <family val="2"/>
    </font>
    <font>
      <sz val="11"/>
      <color indexed="8"/>
      <name val="Calibri"/>
      <family val="2"/>
    </font>
    <font>
      <b/>
      <sz val="8"/>
      <color rgb="FFFF0000"/>
      <name val="Calibri"/>
      <family val="2"/>
      <scheme val="minor"/>
    </font>
    <font>
      <i/>
      <sz val="11"/>
      <color theme="1"/>
      <name val="Calibri"/>
      <family val="2"/>
      <scheme val="minor"/>
    </font>
    <font>
      <sz val="11"/>
      <color rgb="FF002060"/>
      <name val="Calibri"/>
      <family val="2"/>
      <scheme val="minor"/>
    </font>
    <font>
      <b/>
      <sz val="11"/>
      <color rgb="FF222222"/>
      <name val="Verdana"/>
      <family val="2"/>
    </font>
    <font>
      <sz val="11"/>
      <color rgb="FF222222"/>
      <name val="Verdana"/>
      <family val="2"/>
    </font>
  </fonts>
  <fills count="11">
    <fill>
      <patternFill patternType="none"/>
    </fill>
    <fill>
      <patternFill patternType="gray125"/>
    </fill>
    <fill>
      <patternFill patternType="solid">
        <fgColor theme="9" tint="0.79998168889431442"/>
        <bgColor indexed="64"/>
      </patternFill>
    </fill>
    <fill>
      <patternFill patternType="solid">
        <fgColor theme="7" tint="0.39997558519241921"/>
        <bgColor indexed="64"/>
      </patternFill>
    </fill>
    <fill>
      <patternFill patternType="solid">
        <fgColor rgb="FFD9D9D9"/>
      </patternFill>
    </fill>
    <fill>
      <patternFill patternType="solid">
        <fgColor theme="5" tint="0.79998168889431442"/>
        <bgColor indexed="64"/>
      </patternFill>
    </fill>
    <fill>
      <patternFill patternType="solid">
        <fgColor rgb="FFFFFFFF"/>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FFFF"/>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ck">
        <color rgb="FFC8000F"/>
      </bottom>
      <diagonal/>
    </border>
    <border>
      <left/>
      <right/>
      <top style="medium">
        <color indexed="64"/>
      </top>
      <bottom style="thick">
        <color rgb="FFC8000F"/>
      </bottom>
      <diagonal/>
    </border>
    <border>
      <left/>
      <right/>
      <top style="medium">
        <color indexed="64"/>
      </top>
      <bottom/>
      <diagonal/>
    </border>
    <border>
      <left/>
      <right style="medium">
        <color indexed="64"/>
      </right>
      <top style="medium">
        <color indexed="64"/>
      </top>
      <bottom style="thick">
        <color rgb="FFC8000F"/>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27" fillId="0" borderId="0" applyNumberFormat="0" applyFill="0" applyBorder="0" applyAlignment="0" applyProtection="0"/>
  </cellStyleXfs>
  <cellXfs count="218">
    <xf numFmtId="0" fontId="0" fillId="0" borderId="0" xfId="0"/>
    <xf numFmtId="0" fontId="6" fillId="0" borderId="6" xfId="0" applyFont="1" applyBorder="1"/>
    <xf numFmtId="0" fontId="6" fillId="0" borderId="7" xfId="0" applyFont="1" applyBorder="1" applyAlignment="1">
      <alignment horizontal="center"/>
    </xf>
    <xf numFmtId="0" fontId="7" fillId="0" borderId="8" xfId="0" applyFont="1" applyBorder="1"/>
    <xf numFmtId="0" fontId="6" fillId="0" borderId="7" xfId="0" applyFont="1" applyBorder="1"/>
    <xf numFmtId="0" fontId="6" fillId="0" borderId="9" xfId="0" applyFont="1" applyBorder="1" applyAlignment="1">
      <alignment horizontal="center"/>
    </xf>
    <xf numFmtId="0" fontId="10" fillId="4" borderId="4" xfId="0" applyFont="1" applyFill="1" applyBorder="1"/>
    <xf numFmtId="0" fontId="10" fillId="4" borderId="0" xfId="0" applyFont="1" applyFill="1" applyAlignment="1">
      <alignment horizontal="center"/>
    </xf>
    <xf numFmtId="0" fontId="10" fillId="4" borderId="0" xfId="0" applyFont="1" applyFill="1"/>
    <xf numFmtId="0" fontId="10" fillId="4" borderId="5" xfId="0" applyFont="1" applyFill="1" applyBorder="1" applyAlignment="1">
      <alignment horizontal="center"/>
    </xf>
    <xf numFmtId="0" fontId="11" fillId="5" borderId="10" xfId="0" applyFont="1" applyFill="1" applyBorder="1" applyAlignment="1">
      <alignment horizontal="right"/>
    </xf>
    <xf numFmtId="0" fontId="11" fillId="5" borderId="11" xfId="0" applyFont="1" applyFill="1" applyBorder="1" applyAlignment="1">
      <alignment horizontal="right"/>
    </xf>
    <xf numFmtId="0" fontId="11" fillId="5" borderId="12" xfId="0" applyFont="1" applyFill="1" applyBorder="1" applyAlignment="1">
      <alignment horizontal="right"/>
    </xf>
    <xf numFmtId="0" fontId="10" fillId="6" borderId="4" xfId="0" applyFont="1" applyFill="1" applyBorder="1"/>
    <xf numFmtId="0" fontId="10" fillId="6" borderId="0" xfId="0" applyFont="1" applyFill="1" applyAlignment="1">
      <alignment horizontal="center"/>
    </xf>
    <xf numFmtId="0" fontId="10" fillId="6" borderId="0" xfId="0" applyFont="1" applyFill="1"/>
    <xf numFmtId="0" fontId="10" fillId="6" borderId="5" xfId="0" applyFont="1" applyFill="1" applyBorder="1" applyAlignment="1">
      <alignment horizontal="center"/>
    </xf>
    <xf numFmtId="164" fontId="10" fillId="0" borderId="13" xfId="0" applyNumberFormat="1" applyFont="1" applyBorder="1" applyAlignment="1">
      <alignment horizontal="right" shrinkToFit="1"/>
    </xf>
    <xf numFmtId="0" fontId="10" fillId="0" borderId="14" xfId="0" applyFont="1" applyBorder="1" applyAlignment="1">
      <alignment horizontal="right"/>
    </xf>
    <xf numFmtId="3" fontId="10" fillId="0" borderId="14" xfId="0" applyNumberFormat="1" applyFont="1" applyBorder="1" applyAlignment="1">
      <alignment horizontal="right" shrinkToFit="1"/>
    </xf>
    <xf numFmtId="3" fontId="10" fillId="0" borderId="15" xfId="0" applyNumberFormat="1" applyFont="1" applyBorder="1" applyAlignment="1">
      <alignment horizontal="right" shrinkToFit="1"/>
    </xf>
    <xf numFmtId="164" fontId="10" fillId="0" borderId="16" xfId="0" applyNumberFormat="1" applyFont="1" applyBorder="1" applyAlignment="1">
      <alignment horizontal="right" shrinkToFit="1"/>
    </xf>
    <xf numFmtId="0" fontId="10" fillId="0" borderId="17" xfId="0" applyFont="1" applyBorder="1" applyAlignment="1">
      <alignment horizontal="right"/>
    </xf>
    <xf numFmtId="3" fontId="10" fillId="0" borderId="17" xfId="0" applyNumberFormat="1" applyFont="1" applyBorder="1" applyAlignment="1">
      <alignment horizontal="right" shrinkToFit="1"/>
    </xf>
    <xf numFmtId="3" fontId="10" fillId="0" borderId="18" xfId="0" applyNumberFormat="1" applyFont="1" applyBorder="1" applyAlignment="1">
      <alignment horizontal="right" shrinkToFit="1"/>
    </xf>
    <xf numFmtId="164" fontId="10" fillId="0" borderId="19" xfId="0" applyNumberFormat="1" applyFont="1" applyBorder="1" applyAlignment="1">
      <alignment horizontal="right" shrinkToFit="1"/>
    </xf>
    <xf numFmtId="0" fontId="10" fillId="0" borderId="20" xfId="0" applyFont="1" applyBorder="1" applyAlignment="1">
      <alignment horizontal="right"/>
    </xf>
    <xf numFmtId="3" fontId="10" fillId="0" borderId="20" xfId="0" applyNumberFormat="1" applyFont="1" applyBorder="1" applyAlignment="1">
      <alignment horizontal="right" shrinkToFit="1"/>
    </xf>
    <xf numFmtId="3" fontId="10" fillId="0" borderId="21" xfId="0" applyNumberFormat="1" applyFont="1" applyBorder="1" applyAlignment="1">
      <alignment horizontal="right" shrinkToFit="1"/>
    </xf>
    <xf numFmtId="0" fontId="10" fillId="4" borderId="22" xfId="0" applyFont="1" applyFill="1" applyBorder="1"/>
    <xf numFmtId="0" fontId="10" fillId="4" borderId="23" xfId="0" applyFont="1" applyFill="1" applyBorder="1" applyAlignment="1">
      <alignment horizontal="center"/>
    </xf>
    <xf numFmtId="0" fontId="0" fillId="0" borderId="23" xfId="0" applyBorder="1"/>
    <xf numFmtId="0" fontId="0" fillId="0" borderId="24" xfId="0" applyBorder="1"/>
    <xf numFmtId="3" fontId="10" fillId="0" borderId="14" xfId="0" applyNumberFormat="1" applyFont="1" applyBorder="1" applyAlignment="1">
      <alignment horizontal="right"/>
    </xf>
    <xf numFmtId="1" fontId="10" fillId="0" borderId="14" xfId="0" applyNumberFormat="1" applyFont="1" applyBorder="1" applyAlignment="1">
      <alignment horizontal="right" shrinkToFit="1"/>
    </xf>
    <xf numFmtId="1" fontId="10" fillId="0" borderId="15" xfId="0" applyNumberFormat="1" applyFont="1" applyBorder="1" applyAlignment="1">
      <alignment horizontal="right" shrinkToFit="1"/>
    </xf>
    <xf numFmtId="3" fontId="10" fillId="0" borderId="17" xfId="0" applyNumberFormat="1" applyFont="1" applyBorder="1" applyAlignment="1">
      <alignment horizontal="right"/>
    </xf>
    <xf numFmtId="1" fontId="10" fillId="0" borderId="17" xfId="0" applyNumberFormat="1" applyFont="1" applyBorder="1" applyAlignment="1">
      <alignment horizontal="right" shrinkToFit="1"/>
    </xf>
    <xf numFmtId="1" fontId="10" fillId="0" borderId="18" xfId="0" applyNumberFormat="1" applyFont="1" applyBorder="1" applyAlignment="1">
      <alignment horizontal="right" shrinkToFit="1"/>
    </xf>
    <xf numFmtId="3" fontId="10" fillId="0" borderId="20" xfId="0" applyNumberFormat="1" applyFont="1" applyBorder="1" applyAlignment="1">
      <alignment horizontal="right"/>
    </xf>
    <xf numFmtId="1" fontId="10" fillId="0" borderId="20" xfId="0" applyNumberFormat="1" applyFont="1" applyBorder="1" applyAlignment="1">
      <alignment horizontal="right" shrinkToFit="1"/>
    </xf>
    <xf numFmtId="1" fontId="10" fillId="0" borderId="21" xfId="0" applyNumberFormat="1" applyFont="1" applyBorder="1" applyAlignment="1">
      <alignment horizontal="right" shrinkToFit="1"/>
    </xf>
    <xf numFmtId="164" fontId="10" fillId="0" borderId="4" xfId="0" applyNumberFormat="1" applyFont="1" applyBorder="1" applyAlignment="1">
      <alignment horizontal="right" shrinkToFit="1"/>
    </xf>
    <xf numFmtId="3" fontId="10" fillId="0" borderId="0" xfId="0" applyNumberFormat="1" applyFont="1" applyAlignment="1">
      <alignment horizontal="right"/>
    </xf>
    <xf numFmtId="0" fontId="10" fillId="0" borderId="0" xfId="0" applyFont="1" applyAlignment="1">
      <alignment horizontal="right" shrinkToFit="1"/>
    </xf>
    <xf numFmtId="0" fontId="10" fillId="0" borderId="5" xfId="0" applyFont="1" applyBorder="1" applyAlignment="1">
      <alignment horizontal="right" shrinkToFit="1"/>
    </xf>
    <xf numFmtId="0" fontId="15" fillId="0" borderId="25" xfId="0" applyFont="1" applyBorder="1" applyAlignment="1">
      <alignment vertical="center"/>
    </xf>
    <xf numFmtId="0" fontId="0" fillId="0" borderId="8" xfId="0" applyBorder="1"/>
    <xf numFmtId="0" fontId="0" fillId="0" borderId="26" xfId="0" applyBorder="1"/>
    <xf numFmtId="0" fontId="0" fillId="0" borderId="22" xfId="0" applyBorder="1"/>
    <xf numFmtId="0" fontId="1" fillId="0" borderId="0" xfId="0" applyFont="1" applyAlignment="1">
      <alignment horizontal="left" vertical="center" indent="1"/>
    </xf>
    <xf numFmtId="0" fontId="0" fillId="0" borderId="0" xfId="0" applyAlignment="1">
      <alignment horizontal="left" vertical="center" indent="1"/>
    </xf>
    <xf numFmtId="0" fontId="0" fillId="0" borderId="5" xfId="0" applyBorder="1"/>
    <xf numFmtId="0" fontId="0" fillId="7" borderId="17" xfId="0" applyFill="1" applyBorder="1"/>
    <xf numFmtId="0" fontId="1" fillId="7" borderId="27" xfId="0" applyFont="1" applyFill="1" applyBorder="1" applyAlignment="1">
      <alignment horizontal="right"/>
    </xf>
    <xf numFmtId="0" fontId="1" fillId="7" borderId="17" xfId="0" applyFont="1" applyFill="1" applyBorder="1"/>
    <xf numFmtId="0" fontId="1" fillId="7" borderId="17" xfId="0" applyFont="1" applyFill="1" applyBorder="1" applyAlignment="1">
      <alignment horizontal="right"/>
    </xf>
    <xf numFmtId="14" fontId="1" fillId="7" borderId="17" xfId="0" applyNumberFormat="1" applyFont="1" applyFill="1" applyBorder="1" applyAlignment="1">
      <alignment horizontal="right"/>
    </xf>
    <xf numFmtId="0" fontId="0" fillId="7" borderId="17" xfId="0" applyFill="1" applyBorder="1" applyAlignment="1">
      <alignment horizontal="left" vertical="top"/>
    </xf>
    <xf numFmtId="0" fontId="0" fillId="7" borderId="17" xfId="0" applyFill="1" applyBorder="1" applyAlignment="1">
      <alignment horizontal="right" vertical="top"/>
    </xf>
    <xf numFmtId="0" fontId="0" fillId="8" borderId="17" xfId="0" applyFill="1" applyBorder="1"/>
    <xf numFmtId="0" fontId="0" fillId="8" borderId="28" xfId="0" applyFill="1" applyBorder="1"/>
    <xf numFmtId="3" fontId="10" fillId="8" borderId="17" xfId="0" applyNumberFormat="1" applyFont="1" applyFill="1" applyBorder="1" applyAlignment="1">
      <alignment horizontal="right" shrinkToFit="1"/>
    </xf>
    <xf numFmtId="0" fontId="0" fillId="8" borderId="29" xfId="0" applyFill="1" applyBorder="1"/>
    <xf numFmtId="0" fontId="0" fillId="8" borderId="17" xfId="0" applyFill="1" applyBorder="1" applyAlignment="1">
      <alignment horizontal="left" vertical="top"/>
    </xf>
    <xf numFmtId="0" fontId="0" fillId="8" borderId="17" xfId="0" applyFill="1" applyBorder="1" applyAlignment="1">
      <alignment horizontal="right" vertical="top"/>
    </xf>
    <xf numFmtId="1" fontId="0" fillId="8" borderId="17" xfId="0" applyNumberFormat="1" applyFill="1" applyBorder="1"/>
    <xf numFmtId="2" fontId="0" fillId="8" borderId="17" xfId="0" applyNumberFormat="1" applyFill="1" applyBorder="1"/>
    <xf numFmtId="1" fontId="0" fillId="8" borderId="17" xfId="0" applyNumberFormat="1" applyFill="1" applyBorder="1" applyAlignment="1">
      <alignment horizontal="right" vertical="top"/>
    </xf>
    <xf numFmtId="0" fontId="1" fillId="9" borderId="17" xfId="0" applyFont="1" applyFill="1" applyBorder="1"/>
    <xf numFmtId="0" fontId="0" fillId="9" borderId="17" xfId="0" applyFill="1" applyBorder="1"/>
    <xf numFmtId="1" fontId="1" fillId="9" borderId="17" xfId="0" applyNumberFormat="1" applyFont="1" applyFill="1" applyBorder="1"/>
    <xf numFmtId="0" fontId="0" fillId="9" borderId="17" xfId="0" applyFill="1" applyBorder="1" applyAlignment="1">
      <alignment horizontal="left" vertical="top"/>
    </xf>
    <xf numFmtId="1" fontId="0" fillId="9" borderId="17" xfId="0" applyNumberFormat="1" applyFill="1" applyBorder="1" applyAlignment="1">
      <alignment horizontal="right" vertical="top"/>
    </xf>
    <xf numFmtId="0" fontId="0" fillId="0" borderId="17" xfId="0" applyBorder="1"/>
    <xf numFmtId="0" fontId="18" fillId="0" borderId="30" xfId="0" applyFont="1" applyBorder="1" applyAlignment="1">
      <alignment horizontal="center"/>
    </xf>
    <xf numFmtId="0" fontId="0" fillId="0" borderId="1" xfId="0" applyBorder="1"/>
    <xf numFmtId="0" fontId="0" fillId="0" borderId="3" xfId="0" applyBorder="1"/>
    <xf numFmtId="1" fontId="0" fillId="0" borderId="30" xfId="0" applyNumberFormat="1" applyBorder="1"/>
    <xf numFmtId="9" fontId="0" fillId="0" borderId="0" xfId="0" applyNumberFormat="1"/>
    <xf numFmtId="0" fontId="20" fillId="0" borderId="0" xfId="0" applyFont="1"/>
    <xf numFmtId="0" fontId="16" fillId="0" borderId="1" xfId="0" applyFont="1" applyBorder="1"/>
    <xf numFmtId="0" fontId="16" fillId="0" borderId="3" xfId="0" applyFont="1" applyBorder="1"/>
    <xf numFmtId="1" fontId="16" fillId="0" borderId="30" xfId="0" applyNumberFormat="1" applyFont="1" applyBorder="1"/>
    <xf numFmtId="0" fontId="21" fillId="0" borderId="22" xfId="0" applyFont="1" applyBorder="1"/>
    <xf numFmtId="0" fontId="22" fillId="0" borderId="31" xfId="0" applyFont="1" applyBorder="1" applyAlignment="1">
      <alignment horizontal="right"/>
    </xf>
    <xf numFmtId="0" fontId="19" fillId="0" borderId="1" xfId="0" applyFont="1" applyBorder="1"/>
    <xf numFmtId="0" fontId="24" fillId="0" borderId="4" xfId="0" applyFont="1" applyBorder="1"/>
    <xf numFmtId="0" fontId="25" fillId="0" borderId="22" xfId="0" applyFont="1" applyBorder="1"/>
    <xf numFmtId="0" fontId="1" fillId="0" borderId="0" xfId="0" applyFont="1"/>
    <xf numFmtId="2" fontId="1" fillId="0" borderId="0" xfId="0" applyNumberFormat="1" applyFont="1"/>
    <xf numFmtId="2" fontId="0" fillId="0" borderId="0" xfId="0" applyNumberFormat="1"/>
    <xf numFmtId="0" fontId="0" fillId="0" borderId="0" xfId="0" applyAlignment="1">
      <alignment horizontal="right"/>
    </xf>
    <xf numFmtId="0" fontId="33" fillId="0" borderId="0" xfId="1" applyFont="1"/>
    <xf numFmtId="0" fontId="0" fillId="0" borderId="0" xfId="0" applyAlignment="1">
      <alignment horizontal="left" vertical="top"/>
    </xf>
    <xf numFmtId="0" fontId="19" fillId="0" borderId="0" xfId="0" applyFont="1" applyAlignment="1">
      <alignment horizontal="left" vertical="top"/>
    </xf>
    <xf numFmtId="0" fontId="0" fillId="0" borderId="0" xfId="0" quotePrefix="1" applyAlignment="1">
      <alignment horizontal="left" vertical="top"/>
    </xf>
    <xf numFmtId="0" fontId="26" fillId="0" borderId="0" xfId="1" applyFont="1"/>
    <xf numFmtId="1" fontId="0" fillId="0" borderId="0" xfId="0" applyNumberFormat="1"/>
    <xf numFmtId="0" fontId="1" fillId="0" borderId="0" xfId="0" applyFont="1" applyAlignment="1">
      <alignment horizontal="center"/>
    </xf>
    <xf numFmtId="1" fontId="0" fillId="0" borderId="0" xfId="0" applyNumberFormat="1" applyAlignment="1">
      <alignment horizontal="right"/>
    </xf>
    <xf numFmtId="2" fontId="0" fillId="0" borderId="0" xfId="0" applyNumberFormat="1" applyAlignment="1">
      <alignment horizontal="left"/>
    </xf>
    <xf numFmtId="1" fontId="1" fillId="0" borderId="0" xfId="0" applyNumberFormat="1" applyFont="1" applyAlignment="1">
      <alignment horizontal="right"/>
    </xf>
    <xf numFmtId="0" fontId="17" fillId="0" borderId="0" xfId="0" applyFont="1"/>
    <xf numFmtId="0" fontId="36" fillId="0" borderId="0" xfId="0" applyFont="1"/>
    <xf numFmtId="2" fontId="36" fillId="0" borderId="0" xfId="0" applyNumberFormat="1" applyFont="1" applyAlignment="1">
      <alignment horizontal="left"/>
    </xf>
    <xf numFmtId="0" fontId="39" fillId="0" borderId="0" xfId="0" applyFont="1"/>
    <xf numFmtId="0" fontId="16" fillId="0" borderId="0" xfId="0" applyFont="1"/>
    <xf numFmtId="0" fontId="35" fillId="0" borderId="0" xfId="0" applyFont="1"/>
    <xf numFmtId="1" fontId="18" fillId="0" borderId="0" xfId="0" applyNumberFormat="1" applyFont="1"/>
    <xf numFmtId="1" fontId="37" fillId="0" borderId="0" xfId="1" applyNumberFormat="1" applyFont="1" applyFill="1" applyBorder="1" applyAlignment="1"/>
    <xf numFmtId="1" fontId="35" fillId="0" borderId="0" xfId="0" applyNumberFormat="1" applyFont="1"/>
    <xf numFmtId="2" fontId="1" fillId="0" borderId="0" xfId="0" applyNumberFormat="1" applyFont="1" applyAlignment="1">
      <alignment horizontal="center"/>
    </xf>
    <xf numFmtId="0" fontId="42" fillId="0" borderId="4" xfId="0" applyFont="1" applyBorder="1"/>
    <xf numFmtId="1" fontId="16" fillId="0" borderId="0" xfId="0" applyNumberFormat="1" applyFont="1"/>
    <xf numFmtId="0" fontId="44" fillId="9" borderId="0" xfId="0" applyFont="1" applyFill="1"/>
    <xf numFmtId="1" fontId="44" fillId="9" borderId="0" xfId="0" applyNumberFormat="1" applyFont="1" applyFill="1"/>
    <xf numFmtId="0" fontId="0" fillId="9" borderId="0" xfId="0" applyFill="1"/>
    <xf numFmtId="2" fontId="16" fillId="0" borderId="0" xfId="0" applyNumberFormat="1" applyFont="1"/>
    <xf numFmtId="2" fontId="43" fillId="0" borderId="0" xfId="0" applyNumberFormat="1" applyFont="1"/>
    <xf numFmtId="0" fontId="0" fillId="0" borderId="0" xfId="0" applyAlignment="1">
      <alignment vertical="center" wrapText="1"/>
    </xf>
    <xf numFmtId="0" fontId="0" fillId="0" borderId="0" xfId="0" applyAlignment="1">
      <alignment horizontal="center"/>
    </xf>
    <xf numFmtId="0" fontId="38" fillId="0" borderId="0" xfId="0" applyFont="1" applyAlignment="1">
      <alignment horizontal="right"/>
    </xf>
    <xf numFmtId="1" fontId="1" fillId="0" borderId="0" xfId="0" applyNumberFormat="1" applyFont="1"/>
    <xf numFmtId="10" fontId="0" fillId="0" borderId="0" xfId="0" applyNumberFormat="1"/>
    <xf numFmtId="0" fontId="8" fillId="0" borderId="4" xfId="0" applyFont="1" applyBorder="1"/>
    <xf numFmtId="0" fontId="8" fillId="0" borderId="0" xfId="0" applyFont="1"/>
    <xf numFmtId="0" fontId="8" fillId="0" borderId="5" xfId="0" applyFont="1"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0" borderId="4" xfId="0" applyFont="1" applyBorder="1"/>
    <xf numFmtId="0" fontId="3" fillId="0" borderId="0" xfId="0" applyFont="1"/>
    <xf numFmtId="0" fontId="3" fillId="0" borderId="5" xfId="0" applyFont="1" applyBorder="1"/>
    <xf numFmtId="0" fontId="4" fillId="2" borderId="0" xfId="0" applyFont="1" applyFill="1"/>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0" fillId="0" borderId="4" xfId="0" applyBorder="1"/>
    <xf numFmtId="0" fontId="0" fillId="0" borderId="0" xfId="0"/>
    <xf numFmtId="0" fontId="0" fillId="0" borderId="5" xfId="0" applyBorder="1"/>
    <xf numFmtId="0" fontId="13" fillId="0" borderId="4" xfId="0" applyFont="1" applyBorder="1"/>
    <xf numFmtId="0" fontId="13" fillId="0" borderId="0" xfId="0" applyFont="1"/>
    <xf numFmtId="0" fontId="13" fillId="0" borderId="5" xfId="0" applyFont="1" applyBorder="1"/>
    <xf numFmtId="0" fontId="0" fillId="0" borderId="4" xfId="0" applyBorder="1" applyAlignment="1">
      <alignment wrapText="1"/>
    </xf>
    <xf numFmtId="0" fontId="0" fillId="0" borderId="0" xfId="0" applyAlignment="1">
      <alignment wrapText="1"/>
    </xf>
    <xf numFmtId="0" fontId="0" fillId="0" borderId="5" xfId="0" applyBorder="1" applyAlignment="1">
      <alignment wrapText="1"/>
    </xf>
    <xf numFmtId="0" fontId="1" fillId="0" borderId="3" xfId="0" applyFont="1" applyBorder="1" applyAlignment="1">
      <alignment horizontal="center"/>
    </xf>
    <xf numFmtId="0" fontId="45" fillId="0" borderId="0" xfId="0" applyFont="1" applyAlignment="1">
      <alignment horizontal="center" vertical="center" wrapText="1"/>
    </xf>
    <xf numFmtId="0" fontId="46" fillId="0" borderId="0" xfId="0" applyFont="1" applyAlignment="1">
      <alignment horizontal="left" vertical="center" wrapText="1"/>
    </xf>
    <xf numFmtId="0" fontId="46" fillId="0" borderId="0" xfId="0" applyFont="1" applyAlignment="1">
      <alignment horizontal="left" vertical="top" wrapText="1"/>
    </xf>
    <xf numFmtId="0" fontId="45" fillId="0" borderId="0" xfId="0" applyFont="1" applyAlignment="1">
      <alignment horizontal="left" vertical="center" wrapText="1"/>
    </xf>
    <xf numFmtId="0" fontId="1" fillId="0" borderId="2" xfId="0" applyFont="1" applyBorder="1" applyAlignment="1">
      <alignment horizontal="center"/>
    </xf>
    <xf numFmtId="1" fontId="18" fillId="0" borderId="0" xfId="0" applyNumberFormat="1" applyFont="1" applyAlignment="1">
      <alignment horizontal="center"/>
    </xf>
    <xf numFmtId="1" fontId="34" fillId="0" borderId="0" xfId="0" applyNumberFormat="1" applyFont="1" applyAlignment="1">
      <alignment horizontal="left"/>
    </xf>
    <xf numFmtId="0" fontId="0" fillId="0" borderId="0" xfId="0" applyAlignment="1">
      <alignment horizontal="left"/>
    </xf>
    <xf numFmtId="1" fontId="0" fillId="0" borderId="0" xfId="0" applyNumberFormat="1" applyAlignment="1">
      <alignment horizontal="left"/>
    </xf>
    <xf numFmtId="0" fontId="1" fillId="0" borderId="0" xfId="0" applyFont="1" applyAlignment="1">
      <alignment horizontal="center"/>
    </xf>
    <xf numFmtId="0" fontId="23" fillId="0" borderId="23" xfId="0" applyFont="1" applyBorder="1" applyAlignment="1">
      <alignment horizontal="center"/>
    </xf>
    <xf numFmtId="0" fontId="23" fillId="0" borderId="24" xfId="0" applyFont="1" applyBorder="1" applyAlignment="1">
      <alignment horizontal="center"/>
    </xf>
    <xf numFmtId="0" fontId="19" fillId="0" borderId="1" xfId="0" applyFont="1" applyBorder="1" applyAlignment="1">
      <alignment horizontal="center"/>
    </xf>
    <xf numFmtId="0" fontId="19" fillId="0" borderId="3" xfId="0" applyFont="1" applyBorder="1" applyAlignment="1">
      <alignment horizontal="center"/>
    </xf>
    <xf numFmtId="0" fontId="17" fillId="0" borderId="1" xfId="0" applyFont="1" applyBorder="1" applyAlignment="1">
      <alignment horizontal="left"/>
    </xf>
    <xf numFmtId="0" fontId="17" fillId="0" borderId="3" xfId="0" applyFont="1" applyBorder="1" applyAlignment="1">
      <alignment horizontal="left"/>
    </xf>
    <xf numFmtId="0" fontId="19" fillId="0" borderId="2" xfId="0" applyFont="1" applyBorder="1" applyAlignment="1">
      <alignment horizontal="center"/>
    </xf>
    <xf numFmtId="0" fontId="0" fillId="0" borderId="3" xfId="0" applyBorder="1" applyAlignment="1">
      <alignment horizontal="center"/>
    </xf>
    <xf numFmtId="0" fontId="21" fillId="0" borderId="2" xfId="0" applyFont="1" applyBorder="1" applyAlignment="1">
      <alignment horizontal="center"/>
    </xf>
    <xf numFmtId="0" fontId="16" fillId="0" borderId="3" xfId="0" applyFont="1" applyBorder="1" applyAlignment="1">
      <alignment horizontal="center"/>
    </xf>
    <xf numFmtId="0" fontId="46" fillId="10" borderId="0" xfId="0" applyFont="1" applyFill="1" applyAlignment="1">
      <alignment horizontal="left" vertical="center" wrapText="1"/>
    </xf>
    <xf numFmtId="0" fontId="0" fillId="0" borderId="0" xfId="0" applyFill="1"/>
    <xf numFmtId="0" fontId="30" fillId="0" borderId="0" xfId="0" applyFont="1" applyFill="1"/>
    <xf numFmtId="0" fontId="31" fillId="0" borderId="0" xfId="0" applyFont="1" applyFill="1" applyAlignment="1">
      <alignment horizontal="center"/>
    </xf>
    <xf numFmtId="0" fontId="25" fillId="0" borderId="0" xfId="0" applyFont="1" applyFill="1"/>
    <xf numFmtId="0" fontId="0" fillId="0" borderId="0" xfId="0" applyFill="1" applyAlignment="1">
      <alignment horizontal="right"/>
    </xf>
    <xf numFmtId="0" fontId="0" fillId="0" borderId="0" xfId="0" applyFill="1" applyAlignment="1">
      <alignment horizontal="center"/>
    </xf>
    <xf numFmtId="0" fontId="32" fillId="0" borderId="0" xfId="0" applyFont="1" applyFill="1"/>
    <xf numFmtId="0" fontId="35" fillId="0" borderId="0" xfId="0" applyFont="1" applyFill="1" applyBorder="1"/>
    <xf numFmtId="0" fontId="0" fillId="0" borderId="0" xfId="0" applyFill="1" applyBorder="1"/>
    <xf numFmtId="2" fontId="1" fillId="0" borderId="0" xfId="0" applyNumberFormat="1" applyFont="1" applyFill="1" applyBorder="1"/>
    <xf numFmtId="0" fontId="1" fillId="0" borderId="0" xfId="0" applyFont="1" applyFill="1" applyBorder="1"/>
    <xf numFmtId="0" fontId="43" fillId="0" borderId="0" xfId="0" applyFont="1" applyFill="1" applyBorder="1"/>
    <xf numFmtId="2" fontId="43" fillId="0" borderId="0" xfId="0" applyNumberFormat="1" applyFont="1" applyFill="1" applyBorder="1"/>
    <xf numFmtId="0" fontId="0" fillId="0" borderId="0" xfId="0" applyBorder="1"/>
    <xf numFmtId="0" fontId="40" fillId="0" borderId="0" xfId="0" applyFont="1" applyBorder="1"/>
    <xf numFmtId="0" fontId="40" fillId="0" borderId="0" xfId="0" applyFont="1" applyBorder="1" applyAlignment="1">
      <alignment horizontal="center"/>
    </xf>
    <xf numFmtId="0" fontId="41" fillId="0" borderId="0" xfId="0" applyFont="1" applyBorder="1" applyAlignment="1">
      <alignment horizontal="center"/>
    </xf>
    <xf numFmtId="0" fontId="0" fillId="0" borderId="0" xfId="0" applyBorder="1" applyAlignment="1">
      <alignment horizontal="center"/>
    </xf>
    <xf numFmtId="0" fontId="41" fillId="0" borderId="0" xfId="0" applyFont="1" applyBorder="1"/>
    <xf numFmtId="2" fontId="0" fillId="0" borderId="0" xfId="0" applyNumberFormat="1" applyBorder="1" applyAlignment="1">
      <alignment horizontal="center"/>
    </xf>
    <xf numFmtId="1" fontId="0" fillId="0" borderId="0" xfId="0" applyNumberFormat="1" applyBorder="1" applyAlignment="1">
      <alignment horizontal="center"/>
    </xf>
    <xf numFmtId="0" fontId="28" fillId="0" borderId="0" xfId="0" applyFont="1" applyFill="1" applyBorder="1"/>
    <xf numFmtId="0" fontId="28" fillId="0" borderId="0" xfId="0" applyFont="1" applyFill="1" applyBorder="1" applyAlignment="1">
      <alignment horizontal="center"/>
    </xf>
    <xf numFmtId="0" fontId="25" fillId="0" borderId="0" xfId="0" applyFont="1" applyFill="1" applyBorder="1" applyAlignment="1">
      <alignment horizontal="center" vertical="center"/>
    </xf>
    <xf numFmtId="0" fontId="1" fillId="0" borderId="0" xfId="0" applyFont="1" applyFill="1" applyBorder="1" applyAlignment="1">
      <alignment horizontal="center"/>
    </xf>
    <xf numFmtId="0" fontId="1" fillId="0" borderId="0" xfId="0" applyFont="1" applyFill="1" applyBorder="1" applyAlignment="1">
      <alignment horizontal="right"/>
    </xf>
    <xf numFmtId="0" fontId="29" fillId="0" borderId="0" xfId="0" applyFont="1" applyFill="1" applyBorder="1" applyAlignment="1">
      <alignment horizontal="center"/>
    </xf>
    <xf numFmtId="0" fontId="29" fillId="0" borderId="0" xfId="0" applyFont="1" applyFill="1" applyBorder="1"/>
    <xf numFmtId="0" fontId="25" fillId="0" borderId="0" xfId="0" applyFont="1" applyFill="1" applyBorder="1" applyAlignment="1">
      <alignment horizontal="center"/>
    </xf>
    <xf numFmtId="1" fontId="37" fillId="0" borderId="0" xfId="1" applyNumberFormat="1" applyFont="1" applyFill="1" applyBorder="1" applyAlignment="1">
      <alignment horizontal="center"/>
    </xf>
    <xf numFmtId="0" fontId="0" fillId="0" borderId="0" xfId="0" applyFill="1" applyBorder="1" applyAlignment="1">
      <alignment horizontal="right"/>
    </xf>
    <xf numFmtId="0" fontId="1" fillId="0" borderId="0" xfId="0" applyFont="1" applyFill="1" applyBorder="1" applyAlignment="1">
      <alignment horizontal="center"/>
    </xf>
    <xf numFmtId="1" fontId="1" fillId="0" borderId="0" xfId="0" applyNumberFormat="1" applyFont="1" applyFill="1" applyBorder="1" applyAlignment="1">
      <alignment horizontal="center"/>
    </xf>
    <xf numFmtId="0" fontId="18" fillId="0" borderId="0" xfId="0" applyFont="1" applyFill="1" applyBorder="1"/>
    <xf numFmtId="0" fontId="35" fillId="0" borderId="0" xfId="0" applyFont="1" applyFill="1" applyBorder="1" applyAlignment="1">
      <alignment horizontal="center"/>
    </xf>
    <xf numFmtId="0" fontId="36" fillId="0" borderId="0" xfId="0" applyFont="1" applyFill="1" applyBorder="1" applyAlignment="1">
      <alignment horizontal="center"/>
    </xf>
    <xf numFmtId="0" fontId="36" fillId="0" borderId="0" xfId="0" applyFont="1" applyFill="1" applyBorder="1" applyAlignment="1">
      <alignment horizontal="center"/>
    </xf>
    <xf numFmtId="1" fontId="36" fillId="0" borderId="0" xfId="0" applyNumberFormat="1" applyFont="1" applyFill="1" applyBorder="1"/>
    <xf numFmtId="1" fontId="0" fillId="0" borderId="0" xfId="0" applyNumberFormat="1" applyFill="1" applyBorder="1"/>
    <xf numFmtId="1" fontId="35" fillId="0" borderId="0" xfId="0" applyNumberFormat="1" applyFont="1" applyFill="1" applyBorder="1" applyAlignment="1">
      <alignment horizontal="center"/>
    </xf>
    <xf numFmtId="0" fontId="38" fillId="0" borderId="0" xfId="0" applyFont="1" applyFill="1" applyBorder="1" applyAlignment="1">
      <alignment horizontal="right"/>
    </xf>
    <xf numFmtId="0" fontId="36" fillId="0" borderId="0" xfId="0" applyFont="1" applyFill="1" applyBorder="1"/>
    <xf numFmtId="1" fontId="18" fillId="0" borderId="0" xfId="0" applyNumberFormat="1" applyFont="1" applyFill="1" applyBorder="1" applyAlignment="1">
      <alignment horizontal="center"/>
    </xf>
    <xf numFmtId="0" fontId="20" fillId="0" borderId="0" xfId="0" applyFont="1" applyFill="1" applyBorder="1" applyAlignment="1">
      <alignment horizontal="center"/>
    </xf>
    <xf numFmtId="1" fontId="0" fillId="0" borderId="0" xfId="0" applyNumberFormat="1" applyFill="1" applyBorder="1" applyAlignment="1">
      <alignment horizontal="right"/>
    </xf>
    <xf numFmtId="2" fontId="0" fillId="0" borderId="0" xfId="0" applyNumberFormat="1" applyFill="1" applyBorder="1" applyAlignment="1">
      <alignment horizontal="left"/>
    </xf>
    <xf numFmtId="2" fontId="0" fillId="0" borderId="0" xfId="0" applyNumberFormat="1" applyFill="1" applyBorder="1"/>
    <xf numFmtId="0" fontId="39" fillId="0" borderId="0" xfId="0" applyFont="1" applyFill="1" applyBorder="1"/>
    <xf numFmtId="2" fontId="16" fillId="0" borderId="0" xfId="0"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99060</xdr:colOff>
      <xdr:row>0</xdr:row>
      <xdr:rowOff>68580</xdr:rowOff>
    </xdr:from>
    <xdr:to>
      <xdr:col>15</xdr:col>
      <xdr:colOff>419100</xdr:colOff>
      <xdr:row>0</xdr:row>
      <xdr:rowOff>640080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810500" y="68580"/>
          <a:ext cx="1569720" cy="571500"/>
        </a:xfrm>
        <a:prstGeom prst="rect">
          <a:avLst/>
        </a:prstGeom>
      </xdr:spPr>
    </xdr:pic>
    <xdr:clientData/>
  </xdr:twoCellAnchor>
  <xdr:twoCellAnchor>
    <xdr:from>
      <xdr:col>1</xdr:col>
      <xdr:colOff>373380</xdr:colOff>
      <xdr:row>0</xdr:row>
      <xdr:rowOff>0</xdr:rowOff>
    </xdr:from>
    <xdr:to>
      <xdr:col>11</xdr:col>
      <xdr:colOff>594360</xdr:colOff>
      <xdr:row>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144905" y="0"/>
          <a:ext cx="5716905" cy="933450"/>
          <a:chOff x="9376215" y="184793"/>
          <a:chExt cx="2317831" cy="576905"/>
        </a:xfrm>
      </xdr:grpSpPr>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65010" y="184793"/>
            <a:ext cx="2129036" cy="444863"/>
          </a:xfrm>
          <a:prstGeom prst="rect">
            <a:avLst/>
          </a:prstGeom>
        </xdr:spPr>
      </xdr:pic>
      <xdr:sp macro="" textlink="">
        <xdr:nvSpPr>
          <xdr:cNvPr id="5" name="object 7">
            <a:extLst>
              <a:ext uri="{FF2B5EF4-FFF2-40B4-BE49-F238E27FC236}">
                <a16:creationId xmlns:a16="http://schemas.microsoft.com/office/drawing/2014/main" id="{00000000-0008-0000-0000-000005000000}"/>
              </a:ext>
            </a:extLst>
          </xdr:cNvPr>
          <xdr:cNvSpPr txBox="1"/>
        </xdr:nvSpPr>
        <xdr:spPr>
          <a:xfrm>
            <a:off x="9376215" y="602866"/>
            <a:ext cx="2232321" cy="158832"/>
          </a:xfrm>
          <a:prstGeom prst="rect">
            <a:avLst/>
          </a:prstGeom>
        </xdr:spPr>
        <xdr:txBody>
          <a:bodyPr vert="horz" wrap="square" lIns="0" tIns="1270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2700" algn="ctr">
              <a:lnSpc>
                <a:spcPct val="100000"/>
              </a:lnSpc>
              <a:spcBef>
                <a:spcPts val="100"/>
              </a:spcBef>
            </a:pPr>
            <a:r>
              <a:rPr lang="en-US" sz="1400" b="1">
                <a:solidFill>
                  <a:srgbClr val="FF9720"/>
                </a:solidFill>
                <a:latin typeface="Yu Gothic UI Semibold"/>
                <a:cs typeface="Yu Gothic UI Semibold"/>
              </a:rPr>
              <a:t>Compare | Ship | Relax</a:t>
            </a:r>
            <a:endParaRPr sz="1400" b="1">
              <a:solidFill>
                <a:srgbClr val="FF9720"/>
              </a:solidFill>
              <a:latin typeface="Yu Gothic UI Semibold"/>
              <a:cs typeface="Yu Gothic UI Semibold"/>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6"/>
  <sheetViews>
    <sheetView tabSelected="1" workbookViewId="0">
      <selection activeCell="I67" sqref="I67"/>
    </sheetView>
  </sheetViews>
  <sheetFormatPr defaultColWidth="11.5703125" defaultRowHeight="15" x14ac:dyDescent="0.25"/>
  <cols>
    <col min="3" max="9" width="7.85546875" bestFit="1" customWidth="1"/>
    <col min="10" max="10" width="8" bestFit="1" customWidth="1"/>
    <col min="11" max="11" width="7.85546875" bestFit="1" customWidth="1"/>
    <col min="12" max="16" width="9.140625" bestFit="1" customWidth="1"/>
    <col min="18" max="18" width="24.42578125" customWidth="1"/>
    <col min="19" max="19" width="7.28515625" bestFit="1" customWidth="1"/>
    <col min="20" max="20" width="5.5703125" customWidth="1"/>
    <col min="21" max="21" width="22.7109375" bestFit="1" customWidth="1"/>
    <col min="22" max="22" width="7.28515625" bestFit="1" customWidth="1"/>
    <col min="23" max="23" width="4.42578125" customWidth="1"/>
    <col min="24" max="24" width="26.28515625" bestFit="1" customWidth="1"/>
    <col min="25" max="25" width="7.28515625" bestFit="1" customWidth="1"/>
    <col min="26" max="26" width="3.42578125" customWidth="1"/>
    <col min="27" max="27" width="23.28515625" bestFit="1" customWidth="1"/>
    <col min="28" max="28" width="7.28515625" bestFit="1" customWidth="1"/>
  </cols>
  <sheetData>
    <row r="1" spans="1:28" ht="73.900000000000006" customHeight="1" thickBot="1" x14ac:dyDescent="0.6">
      <c r="A1" s="128"/>
      <c r="B1" s="129"/>
      <c r="C1" s="129"/>
      <c r="D1" s="129"/>
      <c r="E1" s="129"/>
      <c r="F1" s="129"/>
      <c r="G1" s="129"/>
      <c r="H1" s="129"/>
      <c r="I1" s="129"/>
      <c r="J1" s="129"/>
      <c r="K1" s="129"/>
      <c r="L1" s="129"/>
      <c r="M1" s="129"/>
      <c r="N1" s="129"/>
      <c r="O1" s="129"/>
      <c r="P1" s="130"/>
    </row>
    <row r="2" spans="1:28" ht="18.75" x14ac:dyDescent="0.3">
      <c r="A2" s="131" t="s">
        <v>0</v>
      </c>
      <c r="B2" s="132"/>
      <c r="C2" s="132"/>
      <c r="D2" s="132"/>
      <c r="E2" s="132"/>
      <c r="F2" s="132"/>
      <c r="G2" s="132"/>
      <c r="H2" s="132"/>
      <c r="I2" s="132"/>
      <c r="J2" s="132"/>
      <c r="K2" s="132"/>
      <c r="L2" s="132"/>
      <c r="M2" s="132"/>
      <c r="N2" s="132"/>
      <c r="O2" s="132"/>
      <c r="P2" s="133"/>
    </row>
    <row r="3" spans="1:28" ht="19.5" thickBot="1" x14ac:dyDescent="0.35">
      <c r="A3" s="131" t="s">
        <v>1</v>
      </c>
      <c r="B3" s="132"/>
      <c r="C3" s="132"/>
      <c r="D3" s="132"/>
      <c r="E3" s="132"/>
      <c r="F3" s="132"/>
      <c r="G3" s="132"/>
      <c r="H3" s="132"/>
      <c r="I3" s="132"/>
      <c r="J3" s="132"/>
      <c r="K3" s="132"/>
      <c r="L3" s="132"/>
      <c r="M3" s="132"/>
      <c r="N3" s="132"/>
      <c r="O3" s="132"/>
      <c r="P3" s="133"/>
      <c r="R3" s="134" t="s">
        <v>2</v>
      </c>
      <c r="S3" s="134"/>
      <c r="T3" s="134"/>
      <c r="U3" s="134"/>
      <c r="V3" s="134"/>
      <c r="W3" s="134"/>
      <c r="X3" s="134"/>
      <c r="Y3" s="134"/>
      <c r="Z3" s="134"/>
      <c r="AA3" s="134"/>
      <c r="AB3" s="134"/>
    </row>
    <row r="4" spans="1:28" ht="24" thickBot="1" x14ac:dyDescent="0.4">
      <c r="A4" s="135" t="s">
        <v>3</v>
      </c>
      <c r="B4" s="136"/>
      <c r="C4" s="136"/>
      <c r="D4" s="136"/>
      <c r="E4" s="136"/>
      <c r="F4" s="136"/>
      <c r="G4" s="136"/>
      <c r="H4" s="136"/>
      <c r="I4" s="136"/>
      <c r="J4" s="136"/>
      <c r="K4" s="136"/>
      <c r="L4" s="136"/>
      <c r="M4" s="136"/>
      <c r="N4" s="136"/>
      <c r="O4" s="136"/>
      <c r="P4" s="137"/>
      <c r="R4" s="1" t="s">
        <v>4</v>
      </c>
      <c r="S4" s="2" t="s">
        <v>5</v>
      </c>
      <c r="T4" s="3"/>
      <c r="U4" s="4" t="s">
        <v>4</v>
      </c>
      <c r="V4" s="2" t="s">
        <v>5</v>
      </c>
      <c r="W4" s="3"/>
      <c r="X4" s="4" t="s">
        <v>4</v>
      </c>
      <c r="Y4" s="2" t="s">
        <v>5</v>
      </c>
      <c r="Z4" s="3"/>
      <c r="AA4" s="4" t="s">
        <v>4</v>
      </c>
      <c r="AB4" s="5" t="s">
        <v>5</v>
      </c>
    </row>
    <row r="5" spans="1:28" ht="21.75" thickBot="1" x14ac:dyDescent="0.4">
      <c r="A5" s="125" t="s">
        <v>6</v>
      </c>
      <c r="B5" s="126"/>
      <c r="C5" s="126"/>
      <c r="D5" s="126"/>
      <c r="E5" s="126"/>
      <c r="F5" s="126"/>
      <c r="G5" s="126"/>
      <c r="H5" s="126"/>
      <c r="I5" s="126"/>
      <c r="J5" s="126"/>
      <c r="K5" s="126"/>
      <c r="L5" s="126"/>
      <c r="M5" s="126"/>
      <c r="N5" s="126"/>
      <c r="O5" s="126"/>
      <c r="P5" s="127"/>
      <c r="R5" s="6" t="s">
        <v>7</v>
      </c>
      <c r="S5" s="7" t="s">
        <v>8</v>
      </c>
      <c r="T5" s="8"/>
      <c r="U5" s="8" t="s">
        <v>9</v>
      </c>
      <c r="V5" s="7" t="s">
        <v>10</v>
      </c>
      <c r="W5" s="8"/>
      <c r="X5" s="8" t="s">
        <v>11</v>
      </c>
      <c r="Y5" s="7" t="s">
        <v>8</v>
      </c>
      <c r="Z5" s="8"/>
      <c r="AA5" s="8" t="s">
        <v>12</v>
      </c>
      <c r="AB5" s="9" t="s">
        <v>8</v>
      </c>
    </row>
    <row r="6" spans="1:28" ht="18" thickBot="1" x14ac:dyDescent="0.35">
      <c r="A6" s="10" t="s">
        <v>13</v>
      </c>
      <c r="B6" s="11"/>
      <c r="C6" s="11" t="s">
        <v>14</v>
      </c>
      <c r="D6" s="11" t="s">
        <v>15</v>
      </c>
      <c r="E6" s="11" t="s">
        <v>16</v>
      </c>
      <c r="F6" s="11" t="s">
        <v>17</v>
      </c>
      <c r="G6" s="11" t="s">
        <v>18</v>
      </c>
      <c r="H6" s="11" t="s">
        <v>19</v>
      </c>
      <c r="I6" s="11" t="s">
        <v>20</v>
      </c>
      <c r="J6" s="11" t="s">
        <v>21</v>
      </c>
      <c r="K6" s="11" t="s">
        <v>22</v>
      </c>
      <c r="L6" s="11" t="s">
        <v>23</v>
      </c>
      <c r="M6" s="11" t="s">
        <v>24</v>
      </c>
      <c r="N6" s="11" t="s">
        <v>25</v>
      </c>
      <c r="O6" s="11" t="s">
        <v>26</v>
      </c>
      <c r="P6" s="12" t="s">
        <v>27</v>
      </c>
      <c r="R6" s="13" t="s">
        <v>28</v>
      </c>
      <c r="S6" s="14" t="s">
        <v>8</v>
      </c>
      <c r="T6" s="15"/>
      <c r="U6" s="15" t="s">
        <v>29</v>
      </c>
      <c r="V6" s="14" t="s">
        <v>30</v>
      </c>
      <c r="W6" s="15"/>
      <c r="X6" s="15" t="s">
        <v>31</v>
      </c>
      <c r="Y6" s="14" t="s">
        <v>32</v>
      </c>
      <c r="Z6" s="15"/>
      <c r="AA6" s="15" t="s">
        <v>33</v>
      </c>
      <c r="AB6" s="16" t="s">
        <v>8</v>
      </c>
    </row>
    <row r="7" spans="1:28" x14ac:dyDescent="0.25">
      <c r="A7" s="17" t="s">
        <v>34</v>
      </c>
      <c r="B7" s="18"/>
      <c r="C7" s="19">
        <v>1096.1600000000001</v>
      </c>
      <c r="D7" s="19">
        <v>1036.8800000000001</v>
      </c>
      <c r="E7" s="19">
        <v>1276.0800000000002</v>
      </c>
      <c r="F7" s="19">
        <v>1134.6400000000001</v>
      </c>
      <c r="G7" s="19">
        <v>1586</v>
      </c>
      <c r="H7" s="19">
        <v>1671.28</v>
      </c>
      <c r="I7" s="19">
        <v>1355.1200000000001</v>
      </c>
      <c r="J7" s="19">
        <v>2470</v>
      </c>
      <c r="K7" s="19">
        <v>1459.1200000000001</v>
      </c>
      <c r="L7" s="19">
        <v>2300.48</v>
      </c>
      <c r="M7" s="19">
        <v>2770.56</v>
      </c>
      <c r="N7" s="19">
        <v>1454.96</v>
      </c>
      <c r="O7" s="19">
        <v>2257.84</v>
      </c>
      <c r="P7" s="20">
        <v>1453.92</v>
      </c>
      <c r="R7" s="6" t="s">
        <v>35</v>
      </c>
      <c r="S7" s="7" t="s">
        <v>8</v>
      </c>
      <c r="T7" s="8"/>
      <c r="U7" s="8" t="s">
        <v>36</v>
      </c>
      <c r="V7" s="7" t="s">
        <v>10</v>
      </c>
      <c r="W7" s="8"/>
      <c r="X7" s="8" t="s">
        <v>37</v>
      </c>
      <c r="Y7" s="7" t="s">
        <v>38</v>
      </c>
      <c r="Z7" s="8"/>
      <c r="AA7" s="8" t="s">
        <v>39</v>
      </c>
      <c r="AB7" s="9" t="s">
        <v>40</v>
      </c>
    </row>
    <row r="8" spans="1:28" x14ac:dyDescent="0.25">
      <c r="A8" s="21" t="s">
        <v>41</v>
      </c>
      <c r="B8" s="22"/>
      <c r="C8" s="23">
        <v>1367.6000000000001</v>
      </c>
      <c r="D8" s="23">
        <v>1360.32</v>
      </c>
      <c r="E8" s="23">
        <v>1501.76</v>
      </c>
      <c r="F8" s="23">
        <v>1365.52</v>
      </c>
      <c r="G8" s="23">
        <v>1940.64</v>
      </c>
      <c r="H8" s="23">
        <v>1992.64</v>
      </c>
      <c r="I8" s="23">
        <v>1565.2</v>
      </c>
      <c r="J8" s="23">
        <v>3198</v>
      </c>
      <c r="K8" s="23">
        <v>1677.52</v>
      </c>
      <c r="L8" s="23">
        <v>3005.6</v>
      </c>
      <c r="M8" s="23">
        <v>3602.56</v>
      </c>
      <c r="N8" s="23">
        <v>1653.6000000000001</v>
      </c>
      <c r="O8" s="23">
        <v>2712.32</v>
      </c>
      <c r="P8" s="24">
        <v>1782.5600000000002</v>
      </c>
      <c r="R8" s="13" t="s">
        <v>42</v>
      </c>
      <c r="S8" s="14" t="s">
        <v>43</v>
      </c>
      <c r="T8" s="15"/>
      <c r="U8" s="15" t="s">
        <v>44</v>
      </c>
      <c r="V8" s="14" t="s">
        <v>8</v>
      </c>
      <c r="W8" s="15"/>
      <c r="X8" s="15" t="s">
        <v>45</v>
      </c>
      <c r="Y8" s="14" t="s">
        <v>32</v>
      </c>
      <c r="Z8" s="15"/>
      <c r="AA8" s="15" t="s">
        <v>46</v>
      </c>
      <c r="AB8" s="16" t="s">
        <v>8</v>
      </c>
    </row>
    <row r="9" spans="1:28" x14ac:dyDescent="0.25">
      <c r="A9" s="21" t="s">
        <v>47</v>
      </c>
      <c r="B9" s="22"/>
      <c r="C9" s="23">
        <v>1570.4</v>
      </c>
      <c r="D9" s="23">
        <v>1584.96</v>
      </c>
      <c r="E9" s="23">
        <v>1795.04</v>
      </c>
      <c r="F9" s="23">
        <v>1568.3200000000002</v>
      </c>
      <c r="G9" s="23">
        <v>2260.96</v>
      </c>
      <c r="H9" s="23">
        <v>2305.6800000000003</v>
      </c>
      <c r="I9" s="23">
        <v>1775.28</v>
      </c>
      <c r="J9" s="23">
        <v>3918.7200000000003</v>
      </c>
      <c r="K9" s="23">
        <v>1783.6000000000001</v>
      </c>
      <c r="L9" s="23">
        <v>3340.48</v>
      </c>
      <c r="M9" s="23">
        <v>4076.8</v>
      </c>
      <c r="N9" s="23">
        <v>1820</v>
      </c>
      <c r="O9" s="23">
        <v>3206.32</v>
      </c>
      <c r="P9" s="24">
        <v>2098.7200000000003</v>
      </c>
      <c r="R9" s="6" t="s">
        <v>48</v>
      </c>
      <c r="S9" s="7" t="s">
        <v>38</v>
      </c>
      <c r="T9" s="8"/>
      <c r="U9" s="8" t="s">
        <v>49</v>
      </c>
      <c r="V9" s="7" t="s">
        <v>38</v>
      </c>
      <c r="W9" s="8"/>
      <c r="X9" s="8" t="s">
        <v>50</v>
      </c>
      <c r="Y9" s="7" t="s">
        <v>51</v>
      </c>
      <c r="Z9" s="8"/>
      <c r="AA9" s="8" t="s">
        <v>52</v>
      </c>
      <c r="AB9" s="9" t="s">
        <v>8</v>
      </c>
    </row>
    <row r="10" spans="1:28" ht="15.75" thickBot="1" x14ac:dyDescent="0.3">
      <c r="A10" s="25" t="s">
        <v>53</v>
      </c>
      <c r="B10" s="26"/>
      <c r="C10" s="27">
        <v>1770.0800000000002</v>
      </c>
      <c r="D10" s="27">
        <v>1806.48</v>
      </c>
      <c r="E10" s="27">
        <v>2086.2400000000002</v>
      </c>
      <c r="F10" s="27">
        <v>1768</v>
      </c>
      <c r="G10" s="27">
        <v>2579.2000000000003</v>
      </c>
      <c r="H10" s="27">
        <v>2620.8000000000002</v>
      </c>
      <c r="I10" s="27">
        <v>1986.4</v>
      </c>
      <c r="J10" s="27">
        <v>4643.6000000000004</v>
      </c>
      <c r="K10" s="27">
        <v>1993.68</v>
      </c>
      <c r="L10" s="27">
        <v>3674.32</v>
      </c>
      <c r="M10" s="27">
        <v>4548.96</v>
      </c>
      <c r="N10" s="27">
        <v>1984.3200000000002</v>
      </c>
      <c r="O10" s="27">
        <v>3700.32</v>
      </c>
      <c r="P10" s="28">
        <v>2415.92</v>
      </c>
      <c r="R10" s="13" t="s">
        <v>54</v>
      </c>
      <c r="S10" s="14" t="s">
        <v>8</v>
      </c>
      <c r="T10" s="15"/>
      <c r="U10" s="15" t="s">
        <v>55</v>
      </c>
      <c r="V10" s="14" t="s">
        <v>8</v>
      </c>
      <c r="W10" s="15"/>
      <c r="X10" s="15" t="s">
        <v>56</v>
      </c>
      <c r="Y10" s="14" t="s">
        <v>8</v>
      </c>
      <c r="Z10" s="15"/>
      <c r="AA10" s="15" t="s">
        <v>57</v>
      </c>
      <c r="AB10" s="16" t="s">
        <v>8</v>
      </c>
    </row>
    <row r="11" spans="1:28" x14ac:dyDescent="0.25">
      <c r="A11" s="138"/>
      <c r="B11" s="139"/>
      <c r="C11" s="139"/>
      <c r="D11" s="139"/>
      <c r="E11" s="139"/>
      <c r="F11" s="139"/>
      <c r="G11" s="139"/>
      <c r="H11" s="139"/>
      <c r="I11" s="139"/>
      <c r="J11" s="139"/>
      <c r="K11" s="139"/>
      <c r="L11" s="139"/>
      <c r="M11" s="139"/>
      <c r="N11" s="139"/>
      <c r="O11" s="139"/>
      <c r="P11" s="140"/>
      <c r="R11" s="6" t="s">
        <v>58</v>
      </c>
      <c r="S11" s="7" t="s">
        <v>10</v>
      </c>
      <c r="T11" s="8"/>
      <c r="U11" s="8" t="s">
        <v>59</v>
      </c>
      <c r="V11" s="7" t="s">
        <v>8</v>
      </c>
      <c r="W11" s="8"/>
      <c r="X11" s="8" t="s">
        <v>60</v>
      </c>
      <c r="Y11" s="7" t="s">
        <v>8</v>
      </c>
      <c r="Z11" s="8"/>
      <c r="AA11" s="8" t="s">
        <v>61</v>
      </c>
      <c r="AB11" s="9" t="s">
        <v>8</v>
      </c>
    </row>
    <row r="12" spans="1:28" ht="21.75" thickBot="1" x14ac:dyDescent="0.4">
      <c r="A12" s="125" t="s">
        <v>62</v>
      </c>
      <c r="B12" s="126"/>
      <c r="C12" s="126"/>
      <c r="D12" s="126"/>
      <c r="E12" s="126"/>
      <c r="F12" s="126"/>
      <c r="G12" s="126"/>
      <c r="H12" s="126"/>
      <c r="I12" s="126"/>
      <c r="J12" s="126"/>
      <c r="K12" s="126"/>
      <c r="L12" s="126"/>
      <c r="M12" s="126"/>
      <c r="N12" s="126"/>
      <c r="O12" s="126"/>
      <c r="P12" s="127"/>
      <c r="R12" s="13" t="s">
        <v>63</v>
      </c>
      <c r="S12" s="14" t="s">
        <v>10</v>
      </c>
      <c r="T12" s="15"/>
      <c r="U12" s="15" t="s">
        <v>64</v>
      </c>
      <c r="V12" s="14" t="s">
        <v>38</v>
      </c>
      <c r="W12" s="15"/>
      <c r="X12" s="15" t="s">
        <v>65</v>
      </c>
      <c r="Y12" s="14" t="s">
        <v>66</v>
      </c>
      <c r="Z12" s="15"/>
      <c r="AA12" s="15" t="s">
        <v>67</v>
      </c>
      <c r="AB12" s="16" t="s">
        <v>66</v>
      </c>
    </row>
    <row r="13" spans="1:28" ht="18" thickBot="1" x14ac:dyDescent="0.35">
      <c r="A13" s="10" t="s">
        <v>13</v>
      </c>
      <c r="B13" s="11"/>
      <c r="C13" s="11" t="s">
        <v>14</v>
      </c>
      <c r="D13" s="11" t="s">
        <v>15</v>
      </c>
      <c r="E13" s="11" t="s">
        <v>16</v>
      </c>
      <c r="F13" s="11" t="s">
        <v>17</v>
      </c>
      <c r="G13" s="11" t="s">
        <v>18</v>
      </c>
      <c r="H13" s="11" t="s">
        <v>19</v>
      </c>
      <c r="I13" s="11" t="s">
        <v>20</v>
      </c>
      <c r="J13" s="11" t="s">
        <v>21</v>
      </c>
      <c r="K13" s="11" t="s">
        <v>22</v>
      </c>
      <c r="L13" s="11" t="s">
        <v>23</v>
      </c>
      <c r="M13" s="11" t="s">
        <v>24</v>
      </c>
      <c r="N13" s="11" t="s">
        <v>25</v>
      </c>
      <c r="O13" s="11" t="s">
        <v>26</v>
      </c>
      <c r="P13" s="12" t="s">
        <v>27</v>
      </c>
      <c r="R13" s="6" t="s">
        <v>68</v>
      </c>
      <c r="S13" s="7" t="s">
        <v>10</v>
      </c>
      <c r="T13" s="8"/>
      <c r="U13" s="8" t="s">
        <v>69</v>
      </c>
      <c r="V13" s="7" t="s">
        <v>38</v>
      </c>
      <c r="W13" s="8"/>
      <c r="X13" s="8" t="s">
        <v>70</v>
      </c>
      <c r="Y13" s="7" t="s">
        <v>71</v>
      </c>
      <c r="Z13" s="8"/>
      <c r="AA13" s="8" t="s">
        <v>72</v>
      </c>
      <c r="AB13" s="9" t="s">
        <v>32</v>
      </c>
    </row>
    <row r="14" spans="1:28" x14ac:dyDescent="0.25">
      <c r="A14" s="17" t="s">
        <v>34</v>
      </c>
      <c r="B14" s="18"/>
      <c r="C14" s="19">
        <v>1134.6400000000001</v>
      </c>
      <c r="D14" s="19">
        <v>1127.3600000000001</v>
      </c>
      <c r="E14" s="19">
        <v>1276.0800000000002</v>
      </c>
      <c r="F14" s="19">
        <v>1204.32</v>
      </c>
      <c r="G14" s="19">
        <v>1503.8400000000001</v>
      </c>
      <c r="H14" s="19">
        <v>1671.28</v>
      </c>
      <c r="I14" s="19">
        <v>1364.48</v>
      </c>
      <c r="J14" s="19">
        <v>3092.96</v>
      </c>
      <c r="K14" s="19">
        <v>1501.76</v>
      </c>
      <c r="L14" s="19">
        <v>2309.84</v>
      </c>
      <c r="M14" s="19">
        <v>3124.1600000000003</v>
      </c>
      <c r="N14" s="19">
        <v>1482</v>
      </c>
      <c r="O14" s="19">
        <v>2571.92</v>
      </c>
      <c r="P14" s="20">
        <v>1535.04</v>
      </c>
      <c r="R14" s="13" t="s">
        <v>73</v>
      </c>
      <c r="S14" s="14" t="s">
        <v>8</v>
      </c>
      <c r="T14" s="15"/>
      <c r="U14" s="15" t="s">
        <v>74</v>
      </c>
      <c r="V14" s="14" t="s">
        <v>8</v>
      </c>
      <c r="W14" s="15"/>
      <c r="X14" s="15" t="s">
        <v>75</v>
      </c>
      <c r="Y14" s="14" t="s">
        <v>8</v>
      </c>
      <c r="Z14" s="15"/>
      <c r="AA14" s="15" t="s">
        <v>76</v>
      </c>
      <c r="AB14" s="16" t="s">
        <v>38</v>
      </c>
    </row>
    <row r="15" spans="1:28" x14ac:dyDescent="0.25">
      <c r="A15" s="21" t="s">
        <v>41</v>
      </c>
      <c r="B15" s="22"/>
      <c r="C15" s="23">
        <v>1365.52</v>
      </c>
      <c r="D15" s="23">
        <v>1346.8</v>
      </c>
      <c r="E15" s="23">
        <v>1548.56</v>
      </c>
      <c r="F15" s="23">
        <v>1347.8400000000001</v>
      </c>
      <c r="G15" s="23">
        <v>1853.28</v>
      </c>
      <c r="H15" s="23">
        <v>1992.64</v>
      </c>
      <c r="I15" s="23">
        <v>1573.52</v>
      </c>
      <c r="J15" s="23">
        <v>3944.7200000000003</v>
      </c>
      <c r="K15" s="23">
        <v>1702.48</v>
      </c>
      <c r="L15" s="23">
        <v>3004.56</v>
      </c>
      <c r="M15" s="23">
        <v>3602.56</v>
      </c>
      <c r="N15" s="23">
        <v>1662.96</v>
      </c>
      <c r="O15" s="23">
        <v>3192.8</v>
      </c>
      <c r="P15" s="24">
        <v>1582.88</v>
      </c>
      <c r="R15" s="6" t="s">
        <v>77</v>
      </c>
      <c r="S15" s="7" t="s">
        <v>10</v>
      </c>
      <c r="T15" s="8"/>
      <c r="U15" s="8" t="s">
        <v>78</v>
      </c>
      <c r="V15" s="7" t="s">
        <v>38</v>
      </c>
      <c r="W15" s="8"/>
      <c r="X15" s="8" t="s">
        <v>79</v>
      </c>
      <c r="Y15" s="7" t="s">
        <v>38</v>
      </c>
      <c r="Z15" s="8"/>
      <c r="AA15" s="8" t="s">
        <v>80</v>
      </c>
      <c r="AB15" s="9" t="s">
        <v>8</v>
      </c>
    </row>
    <row r="16" spans="1:28" x14ac:dyDescent="0.25">
      <c r="A16" s="21" t="s">
        <v>47</v>
      </c>
      <c r="B16" s="22"/>
      <c r="C16" s="23">
        <v>1595.3600000000001</v>
      </c>
      <c r="D16" s="23">
        <v>1593.28</v>
      </c>
      <c r="E16" s="23">
        <v>1818.96</v>
      </c>
      <c r="F16" s="23">
        <v>1490.3200000000002</v>
      </c>
      <c r="G16" s="23">
        <v>2195.44</v>
      </c>
      <c r="H16" s="23">
        <v>2305.6800000000003</v>
      </c>
      <c r="I16" s="23">
        <v>1785.68</v>
      </c>
      <c r="J16" s="23">
        <v>4788.16</v>
      </c>
      <c r="K16" s="23">
        <v>1859.52</v>
      </c>
      <c r="L16" s="23">
        <v>3338.4</v>
      </c>
      <c r="M16" s="23">
        <v>4076.8</v>
      </c>
      <c r="N16" s="23">
        <v>1831.44</v>
      </c>
      <c r="O16" s="23">
        <v>3685.76</v>
      </c>
      <c r="P16" s="24">
        <v>1875.1200000000001</v>
      </c>
      <c r="R16" s="13" t="s">
        <v>81</v>
      </c>
      <c r="S16" s="14" t="s">
        <v>82</v>
      </c>
      <c r="T16" s="15"/>
      <c r="U16" s="15" t="s">
        <v>83</v>
      </c>
      <c r="V16" s="14" t="s">
        <v>32</v>
      </c>
      <c r="W16" s="15"/>
      <c r="X16" s="15" t="s">
        <v>84</v>
      </c>
      <c r="Y16" s="14" t="s">
        <v>43</v>
      </c>
      <c r="Z16" s="15"/>
      <c r="AA16" s="15" t="s">
        <v>85</v>
      </c>
      <c r="AB16" s="16" t="s">
        <v>8</v>
      </c>
    </row>
    <row r="17" spans="1:28" x14ac:dyDescent="0.25">
      <c r="A17" s="21" t="s">
        <v>53</v>
      </c>
      <c r="B17" s="22"/>
      <c r="C17" s="23">
        <v>1825.2</v>
      </c>
      <c r="D17" s="23">
        <v>1834.5600000000002</v>
      </c>
      <c r="E17" s="23">
        <v>2088.3200000000002</v>
      </c>
      <c r="F17" s="23">
        <v>1630.72</v>
      </c>
      <c r="G17" s="23">
        <v>2535.52</v>
      </c>
      <c r="H17" s="23">
        <v>2620.8000000000002</v>
      </c>
      <c r="I17" s="23">
        <v>1995.76</v>
      </c>
      <c r="J17" s="23">
        <v>5632.64</v>
      </c>
      <c r="K17" s="23">
        <v>2081.04</v>
      </c>
      <c r="L17" s="23">
        <v>3674.32</v>
      </c>
      <c r="M17" s="23">
        <v>4548.96</v>
      </c>
      <c r="N17" s="23">
        <v>1996.8000000000002</v>
      </c>
      <c r="O17" s="23">
        <v>4179.76</v>
      </c>
      <c r="P17" s="24">
        <v>2154.88</v>
      </c>
      <c r="R17" s="6" t="s">
        <v>86</v>
      </c>
      <c r="S17" s="7" t="s">
        <v>32</v>
      </c>
      <c r="T17" s="8"/>
      <c r="U17" s="8" t="s">
        <v>87</v>
      </c>
      <c r="V17" s="7" t="s">
        <v>10</v>
      </c>
      <c r="W17" s="8"/>
      <c r="X17" s="8" t="s">
        <v>88</v>
      </c>
      <c r="Y17" s="7" t="s">
        <v>10</v>
      </c>
      <c r="Z17" s="8"/>
      <c r="AA17" s="8" t="s">
        <v>89</v>
      </c>
      <c r="AB17" s="9" t="s">
        <v>8</v>
      </c>
    </row>
    <row r="18" spans="1:28" x14ac:dyDescent="0.25">
      <c r="A18" s="21" t="s">
        <v>90</v>
      </c>
      <c r="B18" s="22"/>
      <c r="C18" s="23">
        <v>2095.6</v>
      </c>
      <c r="D18" s="23">
        <v>2082.08</v>
      </c>
      <c r="E18" s="23">
        <v>2229.7600000000002</v>
      </c>
      <c r="F18" s="23">
        <v>1771.1200000000001</v>
      </c>
      <c r="G18" s="23">
        <v>2629.12</v>
      </c>
      <c r="H18" s="23">
        <v>2936.96</v>
      </c>
      <c r="I18" s="23">
        <v>2206.88</v>
      </c>
      <c r="J18" s="23">
        <v>6480.24</v>
      </c>
      <c r="K18" s="23">
        <v>2310.88</v>
      </c>
      <c r="L18" s="23">
        <v>4011.28</v>
      </c>
      <c r="M18" s="23">
        <v>5023.2</v>
      </c>
      <c r="N18" s="23">
        <v>2231.84</v>
      </c>
      <c r="O18" s="23">
        <v>4672.72</v>
      </c>
      <c r="P18" s="24">
        <v>2447.12</v>
      </c>
      <c r="R18" s="13" t="s">
        <v>91</v>
      </c>
      <c r="S18" s="14" t="s">
        <v>8</v>
      </c>
      <c r="T18" s="15"/>
      <c r="U18" s="15" t="s">
        <v>92</v>
      </c>
      <c r="V18" s="14" t="s">
        <v>8</v>
      </c>
      <c r="W18" s="15"/>
      <c r="X18" s="15" t="s">
        <v>93</v>
      </c>
      <c r="Y18" s="14" t="s">
        <v>8</v>
      </c>
      <c r="Z18" s="15"/>
      <c r="AA18" s="15" t="s">
        <v>94</v>
      </c>
      <c r="AB18" s="16" t="s">
        <v>30</v>
      </c>
    </row>
    <row r="19" spans="1:28" x14ac:dyDescent="0.25">
      <c r="A19" s="21" t="s">
        <v>95</v>
      </c>
      <c r="B19" s="22"/>
      <c r="C19" s="23">
        <v>2273.44</v>
      </c>
      <c r="D19" s="23">
        <v>2276.56</v>
      </c>
      <c r="E19" s="23">
        <v>2477.2800000000002</v>
      </c>
      <c r="F19" s="23">
        <v>1997.8400000000001</v>
      </c>
      <c r="G19" s="23">
        <v>2849.6</v>
      </c>
      <c r="H19" s="23">
        <v>3189.6800000000003</v>
      </c>
      <c r="I19" s="23">
        <v>2491.84</v>
      </c>
      <c r="J19" s="23">
        <v>7366.3200000000006</v>
      </c>
      <c r="K19" s="23">
        <v>2553.2000000000003</v>
      </c>
      <c r="L19" s="23">
        <v>4358.6400000000003</v>
      </c>
      <c r="M19" s="23">
        <v>5223.92</v>
      </c>
      <c r="N19" s="23">
        <v>2461.6800000000003</v>
      </c>
      <c r="O19" s="23">
        <v>5130.3200000000006</v>
      </c>
      <c r="P19" s="24">
        <v>2675.92</v>
      </c>
      <c r="R19" s="6" t="s">
        <v>96</v>
      </c>
      <c r="S19" s="7" t="s">
        <v>10</v>
      </c>
      <c r="T19" s="8"/>
      <c r="U19" s="8" t="s">
        <v>97</v>
      </c>
      <c r="V19" s="7" t="s">
        <v>8</v>
      </c>
      <c r="W19" s="8"/>
      <c r="X19" s="8" t="s">
        <v>98</v>
      </c>
      <c r="Y19" s="7" t="s">
        <v>30</v>
      </c>
      <c r="Z19" s="8"/>
      <c r="AA19" s="8" t="s">
        <v>99</v>
      </c>
      <c r="AB19" s="9" t="s">
        <v>8</v>
      </c>
    </row>
    <row r="20" spans="1:28" x14ac:dyDescent="0.25">
      <c r="A20" s="21" t="s">
        <v>100</v>
      </c>
      <c r="B20" s="22"/>
      <c r="C20" s="23">
        <v>2451.2800000000002</v>
      </c>
      <c r="D20" s="23">
        <v>2471.04</v>
      </c>
      <c r="E20" s="23">
        <v>2724.8</v>
      </c>
      <c r="F20" s="23">
        <v>2224.56</v>
      </c>
      <c r="G20" s="23">
        <v>3070.08</v>
      </c>
      <c r="H20" s="23">
        <v>3442.4</v>
      </c>
      <c r="I20" s="23">
        <v>2776.8</v>
      </c>
      <c r="J20" s="23">
        <v>8252.4</v>
      </c>
      <c r="K20" s="23">
        <v>2795.52</v>
      </c>
      <c r="L20" s="23">
        <v>4706</v>
      </c>
      <c r="M20" s="23">
        <v>5424.64</v>
      </c>
      <c r="N20" s="23">
        <v>2691.52</v>
      </c>
      <c r="O20" s="23">
        <v>5587.92</v>
      </c>
      <c r="P20" s="24">
        <v>2904.7200000000003</v>
      </c>
      <c r="R20" s="13" t="s">
        <v>101</v>
      </c>
      <c r="S20" s="14" t="s">
        <v>40</v>
      </c>
      <c r="T20" s="15"/>
      <c r="U20" s="15" t="s">
        <v>102</v>
      </c>
      <c r="V20" s="14" t="s">
        <v>8</v>
      </c>
      <c r="W20" s="15"/>
      <c r="X20" s="15" t="s">
        <v>103</v>
      </c>
      <c r="Y20" s="14" t="s">
        <v>8</v>
      </c>
      <c r="Z20" s="15"/>
      <c r="AA20" s="15" t="s">
        <v>104</v>
      </c>
      <c r="AB20" s="16" t="s">
        <v>32</v>
      </c>
    </row>
    <row r="21" spans="1:28" x14ac:dyDescent="0.25">
      <c r="A21" s="21" t="s">
        <v>105</v>
      </c>
      <c r="B21" s="22"/>
      <c r="C21" s="23">
        <v>2629.12</v>
      </c>
      <c r="D21" s="23">
        <v>2665.52</v>
      </c>
      <c r="E21" s="23">
        <v>2972.32</v>
      </c>
      <c r="F21" s="23">
        <v>2451.2800000000002</v>
      </c>
      <c r="G21" s="23">
        <v>3290.56</v>
      </c>
      <c r="H21" s="23">
        <v>3695.1200000000003</v>
      </c>
      <c r="I21" s="23">
        <v>3061.76</v>
      </c>
      <c r="J21" s="23">
        <v>9138.48</v>
      </c>
      <c r="K21" s="23">
        <v>3037.84</v>
      </c>
      <c r="L21" s="23">
        <v>5053.3600000000006</v>
      </c>
      <c r="M21" s="23">
        <v>5625.3600000000006</v>
      </c>
      <c r="N21" s="23">
        <v>2921.36</v>
      </c>
      <c r="O21" s="23">
        <v>6045.52</v>
      </c>
      <c r="P21" s="24">
        <v>3133.52</v>
      </c>
      <c r="R21" s="6" t="s">
        <v>106</v>
      </c>
      <c r="S21" s="7" t="s">
        <v>71</v>
      </c>
      <c r="T21" s="8"/>
      <c r="U21" s="8" t="s">
        <v>107</v>
      </c>
      <c r="V21" s="7" t="s">
        <v>32</v>
      </c>
      <c r="W21" s="8"/>
      <c r="X21" s="8" t="s">
        <v>108</v>
      </c>
      <c r="Y21" s="7" t="s">
        <v>43</v>
      </c>
      <c r="Z21" s="8"/>
      <c r="AA21" s="8" t="s">
        <v>109</v>
      </c>
      <c r="AB21" s="9" t="s">
        <v>71</v>
      </c>
    </row>
    <row r="22" spans="1:28" x14ac:dyDescent="0.25">
      <c r="A22" s="21" t="s">
        <v>110</v>
      </c>
      <c r="B22" s="22"/>
      <c r="C22" s="23">
        <v>2806.96</v>
      </c>
      <c r="D22" s="23">
        <v>2860</v>
      </c>
      <c r="E22" s="23">
        <v>3219.84</v>
      </c>
      <c r="F22" s="23">
        <v>2678</v>
      </c>
      <c r="G22" s="23">
        <v>3511.04</v>
      </c>
      <c r="H22" s="23">
        <v>3947.84</v>
      </c>
      <c r="I22" s="23">
        <v>3346.7200000000003</v>
      </c>
      <c r="J22" s="23">
        <v>10024.56</v>
      </c>
      <c r="K22" s="23">
        <v>3280.1600000000003</v>
      </c>
      <c r="L22" s="23">
        <v>5400.72</v>
      </c>
      <c r="M22" s="23">
        <v>5826.08</v>
      </c>
      <c r="N22" s="23">
        <v>3151.2000000000003</v>
      </c>
      <c r="O22" s="23">
        <v>6503.12</v>
      </c>
      <c r="P22" s="24">
        <v>3362.32</v>
      </c>
      <c r="R22" s="13" t="s">
        <v>111</v>
      </c>
      <c r="S22" s="14" t="s">
        <v>10</v>
      </c>
      <c r="T22" s="15"/>
      <c r="U22" s="15" t="s">
        <v>112</v>
      </c>
      <c r="V22" s="14" t="s">
        <v>30</v>
      </c>
      <c r="W22" s="15"/>
      <c r="X22" s="15" t="s">
        <v>113</v>
      </c>
      <c r="Y22" s="14" t="s">
        <v>8</v>
      </c>
      <c r="Z22" s="15"/>
      <c r="AA22" s="15" t="s">
        <v>114</v>
      </c>
      <c r="AB22" s="16" t="s">
        <v>10</v>
      </c>
    </row>
    <row r="23" spans="1:28" x14ac:dyDescent="0.25">
      <c r="A23" s="21" t="s">
        <v>115</v>
      </c>
      <c r="B23" s="22"/>
      <c r="C23" s="23">
        <v>2984.8</v>
      </c>
      <c r="D23" s="23">
        <v>3054.48</v>
      </c>
      <c r="E23" s="23">
        <v>3467.36</v>
      </c>
      <c r="F23" s="23">
        <v>2904.7200000000003</v>
      </c>
      <c r="G23" s="23">
        <v>3731.52</v>
      </c>
      <c r="H23" s="23">
        <v>4200.5600000000004</v>
      </c>
      <c r="I23" s="23">
        <v>3631.6800000000003</v>
      </c>
      <c r="J23" s="23">
        <v>10910.640000000001</v>
      </c>
      <c r="K23" s="23">
        <v>3522.48</v>
      </c>
      <c r="L23" s="23">
        <v>5748.08</v>
      </c>
      <c r="M23" s="23">
        <v>6026.8</v>
      </c>
      <c r="N23" s="23">
        <v>3381.04</v>
      </c>
      <c r="O23" s="23">
        <v>6960.72</v>
      </c>
      <c r="P23" s="24">
        <v>3591.1200000000003</v>
      </c>
      <c r="R23" s="6" t="s">
        <v>116</v>
      </c>
      <c r="S23" s="7" t="s">
        <v>38</v>
      </c>
      <c r="T23" s="8"/>
      <c r="U23" s="8" t="s">
        <v>117</v>
      </c>
      <c r="V23" s="7" t="s">
        <v>38</v>
      </c>
      <c r="W23" s="8"/>
      <c r="X23" s="8" t="s">
        <v>118</v>
      </c>
      <c r="Y23" s="7" t="s">
        <v>8</v>
      </c>
      <c r="Z23" s="8"/>
      <c r="AA23" s="8" t="s">
        <v>119</v>
      </c>
      <c r="AB23" s="9" t="s">
        <v>10</v>
      </c>
    </row>
    <row r="24" spans="1:28" x14ac:dyDescent="0.25">
      <c r="A24" s="21" t="s">
        <v>120</v>
      </c>
      <c r="B24" s="22"/>
      <c r="C24" s="23">
        <v>3406</v>
      </c>
      <c r="D24" s="23">
        <v>3496.48</v>
      </c>
      <c r="E24" s="23">
        <v>3898.96</v>
      </c>
      <c r="F24" s="23">
        <v>3149.12</v>
      </c>
      <c r="G24" s="23">
        <v>4026.88</v>
      </c>
      <c r="H24" s="23">
        <v>4449.12</v>
      </c>
      <c r="I24" s="23">
        <v>3712.8</v>
      </c>
      <c r="J24" s="23">
        <v>11715.6</v>
      </c>
      <c r="K24" s="23">
        <v>3679.52</v>
      </c>
      <c r="L24" s="23">
        <v>7896.72</v>
      </c>
      <c r="M24" s="23">
        <v>7949.76</v>
      </c>
      <c r="N24" s="23">
        <v>3528.7200000000003</v>
      </c>
      <c r="O24" s="23">
        <v>7350.72</v>
      </c>
      <c r="P24" s="24">
        <v>3789.76</v>
      </c>
      <c r="R24" s="13" t="s">
        <v>121</v>
      </c>
      <c r="S24" s="14" t="s">
        <v>32</v>
      </c>
      <c r="T24" s="15"/>
      <c r="U24" s="15" t="s">
        <v>122</v>
      </c>
      <c r="V24" s="14" t="s">
        <v>38</v>
      </c>
      <c r="W24" s="15"/>
      <c r="X24" s="15" t="s">
        <v>123</v>
      </c>
      <c r="Y24" s="14" t="s">
        <v>32</v>
      </c>
      <c r="Z24" s="15"/>
      <c r="AA24" s="15" t="s">
        <v>124</v>
      </c>
      <c r="AB24" s="16" t="s">
        <v>10</v>
      </c>
    </row>
    <row r="25" spans="1:28" x14ac:dyDescent="0.25">
      <c r="A25" s="21" t="s">
        <v>125</v>
      </c>
      <c r="B25" s="22"/>
      <c r="C25" s="23">
        <v>3826.1600000000003</v>
      </c>
      <c r="D25" s="23">
        <v>3929.1200000000003</v>
      </c>
      <c r="E25" s="23">
        <v>4329.5200000000004</v>
      </c>
      <c r="F25" s="23">
        <v>3387.28</v>
      </c>
      <c r="G25" s="23">
        <v>4320.16</v>
      </c>
      <c r="H25" s="23">
        <v>4703.92</v>
      </c>
      <c r="I25" s="23">
        <v>3832.4</v>
      </c>
      <c r="J25" s="23">
        <v>12521.6</v>
      </c>
      <c r="K25" s="23">
        <v>3827.2000000000003</v>
      </c>
      <c r="L25" s="23">
        <v>10038.08</v>
      </c>
      <c r="M25" s="23">
        <v>9875.84</v>
      </c>
      <c r="N25" s="23">
        <v>3666</v>
      </c>
      <c r="O25" s="23">
        <v>7741.76</v>
      </c>
      <c r="P25" s="24">
        <v>3987.36</v>
      </c>
      <c r="R25" s="6" t="s">
        <v>126</v>
      </c>
      <c r="S25" s="7" t="s">
        <v>10</v>
      </c>
      <c r="T25" s="8"/>
      <c r="U25" s="8" t="s">
        <v>127</v>
      </c>
      <c r="V25" s="7" t="s">
        <v>38</v>
      </c>
      <c r="W25" s="8"/>
      <c r="X25" s="8" t="s">
        <v>128</v>
      </c>
      <c r="Y25" s="7" t="s">
        <v>8</v>
      </c>
      <c r="Z25" s="8"/>
      <c r="AA25" s="8" t="s">
        <v>129</v>
      </c>
      <c r="AB25" s="9" t="s">
        <v>10</v>
      </c>
    </row>
    <row r="26" spans="1:28" x14ac:dyDescent="0.25">
      <c r="A26" s="21" t="s">
        <v>130</v>
      </c>
      <c r="B26" s="22"/>
      <c r="C26" s="23">
        <v>4246.32</v>
      </c>
      <c r="D26" s="23">
        <v>4361.76</v>
      </c>
      <c r="E26" s="23">
        <v>4760.08</v>
      </c>
      <c r="F26" s="23">
        <v>3625.44</v>
      </c>
      <c r="G26" s="23">
        <v>4613.4400000000005</v>
      </c>
      <c r="H26" s="23">
        <v>4958.72</v>
      </c>
      <c r="I26" s="23">
        <v>3952</v>
      </c>
      <c r="J26" s="23">
        <v>13327.6</v>
      </c>
      <c r="K26" s="23">
        <v>3974.88</v>
      </c>
      <c r="L26" s="23">
        <v>12179.44</v>
      </c>
      <c r="M26" s="23">
        <v>11801.92</v>
      </c>
      <c r="N26" s="23">
        <v>3803.28</v>
      </c>
      <c r="O26" s="23">
        <v>8132.8</v>
      </c>
      <c r="P26" s="24">
        <v>4184.96</v>
      </c>
      <c r="R26" s="13" t="s">
        <v>131</v>
      </c>
      <c r="S26" s="14" t="s">
        <v>8</v>
      </c>
      <c r="T26" s="15"/>
      <c r="U26" s="15" t="s">
        <v>132</v>
      </c>
      <c r="V26" s="14" t="s">
        <v>10</v>
      </c>
      <c r="W26" s="15"/>
      <c r="X26" s="15" t="s">
        <v>133</v>
      </c>
      <c r="Y26" s="14" t="s">
        <v>8</v>
      </c>
      <c r="Z26" s="15"/>
      <c r="AA26" s="15" t="s">
        <v>134</v>
      </c>
      <c r="AB26" s="16" t="s">
        <v>10</v>
      </c>
    </row>
    <row r="27" spans="1:28" x14ac:dyDescent="0.25">
      <c r="A27" s="21" t="s">
        <v>135</v>
      </c>
      <c r="B27" s="22"/>
      <c r="C27" s="23">
        <v>4666.4800000000005</v>
      </c>
      <c r="D27" s="23">
        <v>4794.4000000000005</v>
      </c>
      <c r="E27" s="23">
        <v>5190.6400000000003</v>
      </c>
      <c r="F27" s="23">
        <v>3863.6</v>
      </c>
      <c r="G27" s="23">
        <v>4906.72</v>
      </c>
      <c r="H27" s="23">
        <v>5213.5200000000004</v>
      </c>
      <c r="I27" s="23">
        <v>4071.6000000000004</v>
      </c>
      <c r="J27" s="23">
        <v>14133.6</v>
      </c>
      <c r="K27" s="23">
        <v>4122.5600000000004</v>
      </c>
      <c r="L27" s="23">
        <v>14320.800000000001</v>
      </c>
      <c r="M27" s="23">
        <v>13728</v>
      </c>
      <c r="N27" s="23">
        <v>3940.56</v>
      </c>
      <c r="O27" s="23">
        <v>8523.84</v>
      </c>
      <c r="P27" s="24">
        <v>4382.5600000000004</v>
      </c>
      <c r="R27" s="6" t="s">
        <v>136</v>
      </c>
      <c r="S27" s="7" t="s">
        <v>10</v>
      </c>
      <c r="T27" s="8"/>
      <c r="U27" s="8" t="s">
        <v>137</v>
      </c>
      <c r="V27" s="7" t="s">
        <v>10</v>
      </c>
      <c r="W27" s="8"/>
      <c r="X27" s="8" t="s">
        <v>138</v>
      </c>
      <c r="Y27" s="7" t="s">
        <v>10</v>
      </c>
      <c r="Z27" s="8"/>
      <c r="AA27" s="8" t="s">
        <v>139</v>
      </c>
      <c r="AB27" s="9" t="s">
        <v>10</v>
      </c>
    </row>
    <row r="28" spans="1:28" x14ac:dyDescent="0.25">
      <c r="A28" s="21" t="s">
        <v>140</v>
      </c>
      <c r="B28" s="22"/>
      <c r="C28" s="23">
        <v>5086.6400000000003</v>
      </c>
      <c r="D28" s="23">
        <v>5227.04</v>
      </c>
      <c r="E28" s="23">
        <v>5621.2</v>
      </c>
      <c r="F28" s="23">
        <v>4101.76</v>
      </c>
      <c r="G28" s="23">
        <v>5200</v>
      </c>
      <c r="H28" s="23">
        <v>5468.3200000000006</v>
      </c>
      <c r="I28" s="23">
        <v>4191.2</v>
      </c>
      <c r="J28" s="23">
        <v>14939.6</v>
      </c>
      <c r="K28" s="23">
        <v>4270.24</v>
      </c>
      <c r="L28" s="23">
        <v>16462.16</v>
      </c>
      <c r="M28" s="23">
        <v>15654.08</v>
      </c>
      <c r="N28" s="23">
        <v>4077.84</v>
      </c>
      <c r="O28" s="23">
        <v>8914.880000000001</v>
      </c>
      <c r="P28" s="24">
        <v>4580.16</v>
      </c>
      <c r="R28" s="13" t="s">
        <v>141</v>
      </c>
      <c r="S28" s="14" t="s">
        <v>71</v>
      </c>
      <c r="T28" s="15"/>
      <c r="U28" s="15" t="s">
        <v>142</v>
      </c>
      <c r="V28" s="14" t="s">
        <v>43</v>
      </c>
      <c r="W28" s="15"/>
      <c r="X28" s="15" t="s">
        <v>143</v>
      </c>
      <c r="Y28" s="14" t="s">
        <v>8</v>
      </c>
      <c r="Z28" s="15"/>
      <c r="AA28" s="15" t="s">
        <v>144</v>
      </c>
      <c r="AB28" s="16" t="s">
        <v>30</v>
      </c>
    </row>
    <row r="29" spans="1:28" x14ac:dyDescent="0.25">
      <c r="A29" s="21" t="s">
        <v>145</v>
      </c>
      <c r="B29" s="22"/>
      <c r="C29" s="23">
        <v>5506.8</v>
      </c>
      <c r="D29" s="23">
        <v>5659.68</v>
      </c>
      <c r="E29" s="23">
        <v>6051.76</v>
      </c>
      <c r="F29" s="23">
        <v>4339.92</v>
      </c>
      <c r="G29" s="23">
        <v>5493.28</v>
      </c>
      <c r="H29" s="23">
        <v>5723.12</v>
      </c>
      <c r="I29" s="23">
        <v>4310.8</v>
      </c>
      <c r="J29" s="23">
        <v>15745.6</v>
      </c>
      <c r="K29" s="23">
        <v>4417.92</v>
      </c>
      <c r="L29" s="23">
        <v>18603.52</v>
      </c>
      <c r="M29" s="23">
        <v>17580.16</v>
      </c>
      <c r="N29" s="23">
        <v>4215.12</v>
      </c>
      <c r="O29" s="23">
        <v>9305.92</v>
      </c>
      <c r="P29" s="24">
        <v>4777.76</v>
      </c>
      <c r="R29" s="6" t="s">
        <v>146</v>
      </c>
      <c r="S29" s="7" t="s">
        <v>10</v>
      </c>
      <c r="T29" s="8"/>
      <c r="U29" s="8" t="s">
        <v>147</v>
      </c>
      <c r="V29" s="7" t="s">
        <v>10</v>
      </c>
      <c r="W29" s="8"/>
      <c r="X29" s="8" t="s">
        <v>148</v>
      </c>
      <c r="Y29" s="7" t="s">
        <v>30</v>
      </c>
      <c r="Z29" s="8"/>
      <c r="AA29" s="8" t="s">
        <v>149</v>
      </c>
      <c r="AB29" s="9" t="s">
        <v>10</v>
      </c>
    </row>
    <row r="30" spans="1:28" x14ac:dyDescent="0.25">
      <c r="A30" s="21" t="s">
        <v>150</v>
      </c>
      <c r="B30" s="22"/>
      <c r="C30" s="23">
        <v>5926.96</v>
      </c>
      <c r="D30" s="23">
        <v>6092.3200000000006</v>
      </c>
      <c r="E30" s="23">
        <v>6482.3200000000006</v>
      </c>
      <c r="F30" s="23">
        <v>4578.08</v>
      </c>
      <c r="G30" s="23">
        <v>5786.56</v>
      </c>
      <c r="H30" s="23">
        <v>5977.92</v>
      </c>
      <c r="I30" s="23">
        <v>4430.4000000000005</v>
      </c>
      <c r="J30" s="23">
        <v>16551.600000000002</v>
      </c>
      <c r="K30" s="23">
        <v>4565.6000000000004</v>
      </c>
      <c r="L30" s="23">
        <v>20744.88</v>
      </c>
      <c r="M30" s="23">
        <v>19506.240000000002</v>
      </c>
      <c r="N30" s="23">
        <v>4352.4000000000005</v>
      </c>
      <c r="O30" s="23">
        <v>9696.9600000000009</v>
      </c>
      <c r="P30" s="24">
        <v>4975.3600000000006</v>
      </c>
      <c r="R30" s="13" t="s">
        <v>151</v>
      </c>
      <c r="S30" s="14" t="s">
        <v>10</v>
      </c>
      <c r="T30" s="15"/>
      <c r="U30" s="15" t="s">
        <v>152</v>
      </c>
      <c r="V30" s="14" t="s">
        <v>38</v>
      </c>
      <c r="W30" s="15"/>
      <c r="X30" s="15" t="s">
        <v>153</v>
      </c>
      <c r="Y30" s="14" t="s">
        <v>51</v>
      </c>
      <c r="Z30" s="15"/>
      <c r="AA30" s="15" t="s">
        <v>154</v>
      </c>
      <c r="AB30" s="16" t="s">
        <v>32</v>
      </c>
    </row>
    <row r="31" spans="1:28" x14ac:dyDescent="0.25">
      <c r="A31" s="21" t="s">
        <v>155</v>
      </c>
      <c r="B31" s="22"/>
      <c r="C31" s="23">
        <v>6347.12</v>
      </c>
      <c r="D31" s="23">
        <v>6524.96</v>
      </c>
      <c r="E31" s="23">
        <v>6912.88</v>
      </c>
      <c r="F31" s="23">
        <v>4816.24</v>
      </c>
      <c r="G31" s="23">
        <v>6079.84</v>
      </c>
      <c r="H31" s="23">
        <v>6232.72</v>
      </c>
      <c r="I31" s="23">
        <v>4550</v>
      </c>
      <c r="J31" s="23">
        <v>17357.600000000002</v>
      </c>
      <c r="K31" s="23">
        <v>4713.28</v>
      </c>
      <c r="L31" s="23">
        <v>22886.240000000002</v>
      </c>
      <c r="M31" s="23">
        <v>21432.32</v>
      </c>
      <c r="N31" s="23">
        <v>4489.68</v>
      </c>
      <c r="O31" s="23">
        <v>10088</v>
      </c>
      <c r="P31" s="24">
        <v>5172.96</v>
      </c>
      <c r="R31" s="6" t="s">
        <v>156</v>
      </c>
      <c r="S31" s="7" t="s">
        <v>8</v>
      </c>
      <c r="T31" s="8"/>
      <c r="U31" s="8" t="s">
        <v>157</v>
      </c>
      <c r="V31" s="7" t="s">
        <v>8</v>
      </c>
      <c r="W31" s="8"/>
      <c r="X31" s="8" t="s">
        <v>158</v>
      </c>
      <c r="Y31" s="7" t="s">
        <v>8</v>
      </c>
      <c r="Z31" s="8"/>
      <c r="AA31" s="8" t="s">
        <v>159</v>
      </c>
      <c r="AB31" s="9" t="s">
        <v>32</v>
      </c>
    </row>
    <row r="32" spans="1:28" x14ac:dyDescent="0.25">
      <c r="A32" s="21" t="s">
        <v>160</v>
      </c>
      <c r="B32" s="22"/>
      <c r="C32" s="23">
        <v>6767.2800000000007</v>
      </c>
      <c r="D32" s="23">
        <v>6957.6</v>
      </c>
      <c r="E32" s="23">
        <v>7343.4400000000005</v>
      </c>
      <c r="F32" s="23">
        <v>5054.4000000000005</v>
      </c>
      <c r="G32" s="23">
        <v>6373.12</v>
      </c>
      <c r="H32" s="23">
        <v>6487.52</v>
      </c>
      <c r="I32" s="23">
        <v>4669.6000000000004</v>
      </c>
      <c r="J32" s="23">
        <v>18163.600000000002</v>
      </c>
      <c r="K32" s="23">
        <v>4860.96</v>
      </c>
      <c r="L32" s="23">
        <v>25027.600000000002</v>
      </c>
      <c r="M32" s="23">
        <v>23358.400000000001</v>
      </c>
      <c r="N32" s="23">
        <v>4626.96</v>
      </c>
      <c r="O32" s="23">
        <v>10479.040000000001</v>
      </c>
      <c r="P32" s="24">
        <v>5370.56</v>
      </c>
      <c r="R32" s="13" t="s">
        <v>161</v>
      </c>
      <c r="S32" s="14" t="s">
        <v>8</v>
      </c>
      <c r="T32" s="15"/>
      <c r="U32" s="15" t="s">
        <v>162</v>
      </c>
      <c r="V32" s="14" t="s">
        <v>8</v>
      </c>
      <c r="W32" s="15"/>
      <c r="X32" s="15" t="s">
        <v>163</v>
      </c>
      <c r="Y32" s="14" t="s">
        <v>8</v>
      </c>
      <c r="Z32" s="15"/>
      <c r="AA32" s="15" t="s">
        <v>164</v>
      </c>
      <c r="AB32" s="16" t="s">
        <v>8</v>
      </c>
    </row>
    <row r="33" spans="1:28" x14ac:dyDescent="0.25">
      <c r="A33" s="21" t="s">
        <v>165</v>
      </c>
      <c r="B33" s="22"/>
      <c r="C33" s="23">
        <v>7187.4400000000005</v>
      </c>
      <c r="D33" s="23">
        <v>7390.2400000000007</v>
      </c>
      <c r="E33" s="23">
        <v>7774</v>
      </c>
      <c r="F33" s="23">
        <v>5292.56</v>
      </c>
      <c r="G33" s="23">
        <v>6666.4000000000005</v>
      </c>
      <c r="H33" s="23">
        <v>6742.3200000000006</v>
      </c>
      <c r="I33" s="23">
        <v>4789.2</v>
      </c>
      <c r="J33" s="23">
        <v>18969.600000000002</v>
      </c>
      <c r="K33" s="23">
        <v>5008.6400000000003</v>
      </c>
      <c r="L33" s="23">
        <v>27168.959999999999</v>
      </c>
      <c r="M33" s="23">
        <v>25284.48</v>
      </c>
      <c r="N33" s="23">
        <v>4764.24</v>
      </c>
      <c r="O33" s="23">
        <v>10870.08</v>
      </c>
      <c r="P33" s="24">
        <v>5568.16</v>
      </c>
      <c r="R33" s="6" t="s">
        <v>166</v>
      </c>
      <c r="S33" s="7" t="s">
        <v>10</v>
      </c>
      <c r="T33" s="8"/>
      <c r="U33" s="8" t="s">
        <v>167</v>
      </c>
      <c r="V33" s="7" t="s">
        <v>8</v>
      </c>
      <c r="W33" s="8"/>
      <c r="X33" s="8" t="s">
        <v>168</v>
      </c>
      <c r="Y33" s="7" t="s">
        <v>71</v>
      </c>
      <c r="Z33" s="8"/>
      <c r="AA33" s="8" t="s">
        <v>169</v>
      </c>
      <c r="AB33" s="9" t="s">
        <v>8</v>
      </c>
    </row>
    <row r="34" spans="1:28" x14ac:dyDescent="0.25">
      <c r="A34" s="21" t="s">
        <v>170</v>
      </c>
      <c r="B34" s="22"/>
      <c r="C34" s="23">
        <v>7459.92</v>
      </c>
      <c r="D34" s="23">
        <v>7602.4000000000005</v>
      </c>
      <c r="E34" s="23">
        <v>7895.68</v>
      </c>
      <c r="F34" s="23">
        <v>5539.04</v>
      </c>
      <c r="G34" s="23">
        <v>6891.04</v>
      </c>
      <c r="H34" s="23">
        <v>7078.2400000000007</v>
      </c>
      <c r="I34" s="23">
        <v>4989.92</v>
      </c>
      <c r="J34" s="23">
        <v>19153.68</v>
      </c>
      <c r="K34" s="23">
        <v>5231.2</v>
      </c>
      <c r="L34" s="23">
        <v>27294.799999999999</v>
      </c>
      <c r="M34" s="23">
        <v>25467.52</v>
      </c>
      <c r="N34" s="23">
        <v>4998.24</v>
      </c>
      <c r="O34" s="23">
        <v>11143.6</v>
      </c>
      <c r="P34" s="24">
        <v>5778.24</v>
      </c>
      <c r="R34" s="13" t="s">
        <v>171</v>
      </c>
      <c r="S34" s="14" t="s">
        <v>51</v>
      </c>
      <c r="T34" s="15"/>
      <c r="U34" s="15" t="s">
        <v>172</v>
      </c>
      <c r="V34" s="14" t="s">
        <v>10</v>
      </c>
      <c r="W34" s="15"/>
      <c r="X34" s="15" t="s">
        <v>173</v>
      </c>
      <c r="Y34" s="14" t="s">
        <v>32</v>
      </c>
      <c r="Z34" s="15"/>
      <c r="AA34" s="15" t="s">
        <v>174</v>
      </c>
      <c r="AB34" s="16" t="s">
        <v>51</v>
      </c>
    </row>
    <row r="35" spans="1:28" x14ac:dyDescent="0.25">
      <c r="A35" s="21" t="s">
        <v>175</v>
      </c>
      <c r="B35" s="22"/>
      <c r="C35" s="23">
        <v>7732.4000000000005</v>
      </c>
      <c r="D35" s="23">
        <v>7814.56</v>
      </c>
      <c r="E35" s="23">
        <v>8017.3600000000006</v>
      </c>
      <c r="F35" s="23">
        <v>5785.52</v>
      </c>
      <c r="G35" s="23">
        <v>7115.68</v>
      </c>
      <c r="H35" s="23">
        <v>7414.16</v>
      </c>
      <c r="I35" s="23">
        <v>5190.6400000000003</v>
      </c>
      <c r="J35" s="23">
        <v>19337.760000000002</v>
      </c>
      <c r="K35" s="23">
        <v>5453.76</v>
      </c>
      <c r="L35" s="23">
        <v>27420.639999999999</v>
      </c>
      <c r="M35" s="23">
        <v>25650.560000000001</v>
      </c>
      <c r="N35" s="23">
        <v>5232.24</v>
      </c>
      <c r="O35" s="23">
        <v>11417.12</v>
      </c>
      <c r="P35" s="24">
        <v>5988.3200000000006</v>
      </c>
      <c r="R35" s="6" t="s">
        <v>176</v>
      </c>
      <c r="S35" s="7" t="s">
        <v>38</v>
      </c>
      <c r="T35" s="8"/>
      <c r="U35" s="8" t="s">
        <v>177</v>
      </c>
      <c r="V35" s="7" t="s">
        <v>10</v>
      </c>
      <c r="W35" s="8"/>
      <c r="X35" s="8" t="s">
        <v>178</v>
      </c>
      <c r="Y35" s="7" t="s">
        <v>10</v>
      </c>
      <c r="Z35" s="8"/>
      <c r="AA35" s="8" t="s">
        <v>179</v>
      </c>
      <c r="AB35" s="9" t="s">
        <v>8</v>
      </c>
    </row>
    <row r="36" spans="1:28" x14ac:dyDescent="0.25">
      <c r="A36" s="21" t="s">
        <v>180</v>
      </c>
      <c r="B36" s="22"/>
      <c r="C36" s="23">
        <v>8004.88</v>
      </c>
      <c r="D36" s="23">
        <v>8026.72</v>
      </c>
      <c r="E36" s="23">
        <v>8139.04</v>
      </c>
      <c r="F36" s="23">
        <v>6032</v>
      </c>
      <c r="G36" s="23">
        <v>7340.3200000000006</v>
      </c>
      <c r="H36" s="23">
        <v>7750.08</v>
      </c>
      <c r="I36" s="23">
        <v>5391.3600000000006</v>
      </c>
      <c r="J36" s="23">
        <v>19521.84</v>
      </c>
      <c r="K36" s="23">
        <v>5676.3200000000006</v>
      </c>
      <c r="L36" s="23">
        <v>27546.48</v>
      </c>
      <c r="M36" s="23">
        <v>25833.600000000002</v>
      </c>
      <c r="N36" s="23">
        <v>5466.24</v>
      </c>
      <c r="O36" s="23">
        <v>11690.640000000001</v>
      </c>
      <c r="P36" s="24">
        <v>6198.4000000000005</v>
      </c>
      <c r="R36" s="13" t="s">
        <v>181</v>
      </c>
      <c r="S36" s="14" t="s">
        <v>8</v>
      </c>
      <c r="T36" s="15"/>
      <c r="U36" s="15" t="s">
        <v>182</v>
      </c>
      <c r="V36" s="14" t="s">
        <v>10</v>
      </c>
      <c r="W36" s="15"/>
      <c r="X36" s="15" t="s">
        <v>183</v>
      </c>
      <c r="Y36" s="14" t="s">
        <v>8</v>
      </c>
      <c r="Z36" s="15"/>
      <c r="AA36" s="15" t="s">
        <v>184</v>
      </c>
      <c r="AB36" s="16" t="s">
        <v>30</v>
      </c>
    </row>
    <row r="37" spans="1:28" x14ac:dyDescent="0.25">
      <c r="A37" s="21" t="s">
        <v>185</v>
      </c>
      <c r="B37" s="22"/>
      <c r="C37" s="23">
        <v>8277.36</v>
      </c>
      <c r="D37" s="23">
        <v>8238.880000000001</v>
      </c>
      <c r="E37" s="23">
        <v>8260.7200000000012</v>
      </c>
      <c r="F37" s="23">
        <v>6278.4800000000005</v>
      </c>
      <c r="G37" s="23">
        <v>7564.96</v>
      </c>
      <c r="H37" s="23">
        <v>8086</v>
      </c>
      <c r="I37" s="23">
        <v>5592.08</v>
      </c>
      <c r="J37" s="23">
        <v>19705.920000000002</v>
      </c>
      <c r="K37" s="23">
        <v>5898.88</v>
      </c>
      <c r="L37" s="23">
        <v>27672.32</v>
      </c>
      <c r="M37" s="23">
        <v>26016.639999999999</v>
      </c>
      <c r="N37" s="23">
        <v>5700.24</v>
      </c>
      <c r="O37" s="23">
        <v>11964.16</v>
      </c>
      <c r="P37" s="24">
        <v>6408.4800000000005</v>
      </c>
      <c r="R37" s="6" t="s">
        <v>186</v>
      </c>
      <c r="S37" s="7" t="s">
        <v>8</v>
      </c>
      <c r="T37" s="8"/>
      <c r="U37" s="8" t="s">
        <v>187</v>
      </c>
      <c r="V37" s="7" t="s">
        <v>66</v>
      </c>
      <c r="W37" s="8"/>
      <c r="X37" s="8" t="s">
        <v>188</v>
      </c>
      <c r="Y37" s="7" t="s">
        <v>189</v>
      </c>
      <c r="Z37" s="8"/>
      <c r="AA37" s="8" t="s">
        <v>190</v>
      </c>
      <c r="AB37" s="9" t="s">
        <v>66</v>
      </c>
    </row>
    <row r="38" spans="1:28" x14ac:dyDescent="0.25">
      <c r="A38" s="21" t="s">
        <v>191</v>
      </c>
      <c r="B38" s="22"/>
      <c r="C38" s="23">
        <v>8549.84</v>
      </c>
      <c r="D38" s="23">
        <v>8451.0400000000009</v>
      </c>
      <c r="E38" s="23">
        <v>8382.4</v>
      </c>
      <c r="F38" s="23">
        <v>6524.96</v>
      </c>
      <c r="G38" s="23">
        <v>7789.6</v>
      </c>
      <c r="H38" s="23">
        <v>8421.92</v>
      </c>
      <c r="I38" s="23">
        <v>5792.8</v>
      </c>
      <c r="J38" s="23">
        <v>19890</v>
      </c>
      <c r="K38" s="23">
        <v>6121.4400000000005</v>
      </c>
      <c r="L38" s="23">
        <v>27798.16</v>
      </c>
      <c r="M38" s="23">
        <v>26199.68</v>
      </c>
      <c r="N38" s="23">
        <v>5934.24</v>
      </c>
      <c r="O38" s="23">
        <v>12237.68</v>
      </c>
      <c r="P38" s="24">
        <v>6618.56</v>
      </c>
      <c r="R38" s="13" t="s">
        <v>192</v>
      </c>
      <c r="S38" s="14" t="s">
        <v>51</v>
      </c>
      <c r="T38" s="15"/>
      <c r="U38" s="15" t="s">
        <v>193</v>
      </c>
      <c r="V38" s="14" t="s">
        <v>32</v>
      </c>
      <c r="W38" s="15"/>
      <c r="X38" s="15" t="s">
        <v>194</v>
      </c>
      <c r="Y38" s="14" t="s">
        <v>10</v>
      </c>
      <c r="Z38" s="15"/>
      <c r="AA38" s="15" t="s">
        <v>195</v>
      </c>
      <c r="AB38" s="16" t="s">
        <v>51</v>
      </c>
    </row>
    <row r="39" spans="1:28" x14ac:dyDescent="0.25">
      <c r="A39" s="21" t="s">
        <v>196</v>
      </c>
      <c r="B39" s="22"/>
      <c r="C39" s="23">
        <v>8822.32</v>
      </c>
      <c r="D39" s="23">
        <v>8663.2000000000007</v>
      </c>
      <c r="E39" s="23">
        <v>8504.08</v>
      </c>
      <c r="F39" s="23">
        <v>6771.4400000000005</v>
      </c>
      <c r="G39" s="23">
        <v>8014.2400000000007</v>
      </c>
      <c r="H39" s="23">
        <v>8757.84</v>
      </c>
      <c r="I39" s="23">
        <v>5993.52</v>
      </c>
      <c r="J39" s="23">
        <v>20074.080000000002</v>
      </c>
      <c r="K39" s="23">
        <v>6344</v>
      </c>
      <c r="L39" s="23">
        <v>27924</v>
      </c>
      <c r="M39" s="23">
        <v>26382.720000000001</v>
      </c>
      <c r="N39" s="23">
        <v>6168.24</v>
      </c>
      <c r="O39" s="23">
        <v>12511.2</v>
      </c>
      <c r="P39" s="24">
        <v>6828.64</v>
      </c>
      <c r="R39" s="6" t="s">
        <v>197</v>
      </c>
      <c r="S39" s="7" t="s">
        <v>8</v>
      </c>
      <c r="T39" s="8"/>
      <c r="U39" s="8" t="s">
        <v>198</v>
      </c>
      <c r="V39" s="7" t="s">
        <v>38</v>
      </c>
      <c r="W39" s="8"/>
      <c r="X39" s="8" t="s">
        <v>199</v>
      </c>
      <c r="Y39" s="7" t="s">
        <v>8</v>
      </c>
      <c r="Z39" s="8"/>
      <c r="AA39" s="8" t="s">
        <v>200</v>
      </c>
      <c r="AB39" s="9" t="s">
        <v>8</v>
      </c>
    </row>
    <row r="40" spans="1:28" x14ac:dyDescent="0.25">
      <c r="A40" s="21" t="s">
        <v>201</v>
      </c>
      <c r="B40" s="22"/>
      <c r="C40" s="23">
        <v>9094.8000000000011</v>
      </c>
      <c r="D40" s="23">
        <v>8875.36</v>
      </c>
      <c r="E40" s="23">
        <v>8625.76</v>
      </c>
      <c r="F40" s="23">
        <v>7017.92</v>
      </c>
      <c r="G40" s="23">
        <v>8238.880000000001</v>
      </c>
      <c r="H40" s="23">
        <v>9093.76</v>
      </c>
      <c r="I40" s="23">
        <v>6194.24</v>
      </c>
      <c r="J40" s="23">
        <v>20258.16</v>
      </c>
      <c r="K40" s="23">
        <v>6566.56</v>
      </c>
      <c r="L40" s="23">
        <v>28049.84</v>
      </c>
      <c r="M40" s="23">
        <v>26565.760000000002</v>
      </c>
      <c r="N40" s="23">
        <v>6402.24</v>
      </c>
      <c r="O40" s="23">
        <v>12784.720000000001</v>
      </c>
      <c r="P40" s="24">
        <v>7038.72</v>
      </c>
      <c r="R40" s="13" t="s">
        <v>202</v>
      </c>
      <c r="S40" s="14" t="s">
        <v>43</v>
      </c>
      <c r="T40" s="15"/>
      <c r="U40" s="15" t="s">
        <v>203</v>
      </c>
      <c r="V40" s="14" t="s">
        <v>51</v>
      </c>
      <c r="W40" s="15"/>
      <c r="X40" s="15" t="s">
        <v>204</v>
      </c>
      <c r="Y40" s="14" t="s">
        <v>30</v>
      </c>
      <c r="Z40" s="15"/>
      <c r="AA40" s="15" t="s">
        <v>205</v>
      </c>
      <c r="AB40" s="16" t="s">
        <v>8</v>
      </c>
    </row>
    <row r="41" spans="1:28" x14ac:dyDescent="0.25">
      <c r="A41" s="21" t="s">
        <v>206</v>
      </c>
      <c r="B41" s="22"/>
      <c r="C41" s="23">
        <v>9367.2800000000007</v>
      </c>
      <c r="D41" s="23">
        <v>9087.52</v>
      </c>
      <c r="E41" s="23">
        <v>8747.44</v>
      </c>
      <c r="F41" s="23">
        <v>7264.4000000000005</v>
      </c>
      <c r="G41" s="23">
        <v>8463.52</v>
      </c>
      <c r="H41" s="23">
        <v>9429.68</v>
      </c>
      <c r="I41" s="23">
        <v>6394.96</v>
      </c>
      <c r="J41" s="23">
        <v>20442.240000000002</v>
      </c>
      <c r="K41" s="23">
        <v>6789.12</v>
      </c>
      <c r="L41" s="23">
        <v>28175.68</v>
      </c>
      <c r="M41" s="23">
        <v>26748.799999999999</v>
      </c>
      <c r="N41" s="23">
        <v>6636.24</v>
      </c>
      <c r="O41" s="23">
        <v>13058.24</v>
      </c>
      <c r="P41" s="24">
        <v>7248.8</v>
      </c>
      <c r="R41" s="6" t="s">
        <v>207</v>
      </c>
      <c r="S41" s="7" t="s">
        <v>38</v>
      </c>
      <c r="T41" s="8"/>
      <c r="U41" s="8" t="s">
        <v>208</v>
      </c>
      <c r="V41" s="7" t="s">
        <v>8</v>
      </c>
      <c r="W41" s="8"/>
      <c r="X41" s="8" t="s">
        <v>209</v>
      </c>
      <c r="Y41" s="7" t="s">
        <v>8</v>
      </c>
      <c r="Z41" s="8"/>
      <c r="AA41" s="8" t="s">
        <v>210</v>
      </c>
      <c r="AB41" s="9" t="s">
        <v>10</v>
      </c>
    </row>
    <row r="42" spans="1:28" x14ac:dyDescent="0.25">
      <c r="A42" s="21" t="s">
        <v>211</v>
      </c>
      <c r="B42" s="22"/>
      <c r="C42" s="23">
        <v>9639.76</v>
      </c>
      <c r="D42" s="23">
        <v>9299.68</v>
      </c>
      <c r="E42" s="23">
        <v>8869.1200000000008</v>
      </c>
      <c r="F42" s="23">
        <v>7510.88</v>
      </c>
      <c r="G42" s="23">
        <v>8688.16</v>
      </c>
      <c r="H42" s="23">
        <v>9765.6</v>
      </c>
      <c r="I42" s="23">
        <v>6595.68</v>
      </c>
      <c r="J42" s="23">
        <v>20626.32</v>
      </c>
      <c r="K42" s="23">
        <v>7011.68</v>
      </c>
      <c r="L42" s="23">
        <v>28301.52</v>
      </c>
      <c r="M42" s="23">
        <v>26931.84</v>
      </c>
      <c r="N42" s="23">
        <v>6870.24</v>
      </c>
      <c r="O42" s="23">
        <v>13331.76</v>
      </c>
      <c r="P42" s="24">
        <v>7458.88</v>
      </c>
      <c r="R42" s="13" t="s">
        <v>212</v>
      </c>
      <c r="S42" s="14" t="s">
        <v>8</v>
      </c>
      <c r="T42" s="15"/>
      <c r="U42" s="15" t="s">
        <v>213</v>
      </c>
      <c r="V42" s="14" t="s">
        <v>8</v>
      </c>
      <c r="W42" s="15"/>
      <c r="X42" s="15" t="s">
        <v>214</v>
      </c>
      <c r="Y42" s="14" t="s">
        <v>8</v>
      </c>
      <c r="Z42" s="15"/>
      <c r="AA42" s="15" t="s">
        <v>215</v>
      </c>
      <c r="AB42" s="16" t="s">
        <v>8</v>
      </c>
    </row>
    <row r="43" spans="1:28" x14ac:dyDescent="0.25">
      <c r="A43" s="21" t="s">
        <v>216</v>
      </c>
      <c r="B43" s="22"/>
      <c r="C43" s="23">
        <v>9912.24</v>
      </c>
      <c r="D43" s="23">
        <v>9511.84</v>
      </c>
      <c r="E43" s="23">
        <v>8990.8000000000011</v>
      </c>
      <c r="F43" s="23">
        <v>7757.3600000000006</v>
      </c>
      <c r="G43" s="23">
        <v>8912.8000000000011</v>
      </c>
      <c r="H43" s="23">
        <v>10101.52</v>
      </c>
      <c r="I43" s="23">
        <v>6796.4000000000005</v>
      </c>
      <c r="J43" s="23">
        <v>20810.400000000001</v>
      </c>
      <c r="K43" s="23">
        <v>7234.2400000000007</v>
      </c>
      <c r="L43" s="23">
        <v>28427.360000000001</v>
      </c>
      <c r="M43" s="23">
        <v>27114.880000000001</v>
      </c>
      <c r="N43" s="23">
        <v>7104.2400000000007</v>
      </c>
      <c r="O43" s="23">
        <v>13605.28</v>
      </c>
      <c r="P43" s="24">
        <v>7668.96</v>
      </c>
      <c r="R43" s="6" t="s">
        <v>217</v>
      </c>
      <c r="S43" s="7" t="s">
        <v>10</v>
      </c>
      <c r="T43" s="8"/>
      <c r="U43" s="8" t="s">
        <v>218</v>
      </c>
      <c r="V43" s="7" t="s">
        <v>32</v>
      </c>
      <c r="W43" s="8"/>
      <c r="X43" s="8" t="s">
        <v>219</v>
      </c>
      <c r="Y43" s="7" t="s">
        <v>43</v>
      </c>
      <c r="Z43" s="8"/>
      <c r="AA43" s="8" t="s">
        <v>220</v>
      </c>
      <c r="AB43" s="9" t="s">
        <v>38</v>
      </c>
    </row>
    <row r="44" spans="1:28" x14ac:dyDescent="0.25">
      <c r="A44" s="21" t="s">
        <v>221</v>
      </c>
      <c r="B44" s="22"/>
      <c r="C44" s="23">
        <v>10184.720000000001</v>
      </c>
      <c r="D44" s="23">
        <v>9724</v>
      </c>
      <c r="E44" s="23">
        <v>9112.48</v>
      </c>
      <c r="F44" s="23">
        <v>8003.84</v>
      </c>
      <c r="G44" s="23">
        <v>9137.44</v>
      </c>
      <c r="H44" s="23">
        <v>10437.44</v>
      </c>
      <c r="I44" s="23">
        <v>6997.12</v>
      </c>
      <c r="J44" s="23">
        <v>20994.48</v>
      </c>
      <c r="K44" s="23">
        <v>7456.8</v>
      </c>
      <c r="L44" s="23">
        <v>28553.200000000001</v>
      </c>
      <c r="M44" s="23">
        <v>27297.920000000002</v>
      </c>
      <c r="N44" s="23">
        <v>7338.2400000000007</v>
      </c>
      <c r="O44" s="23">
        <v>13878.800000000001</v>
      </c>
      <c r="P44" s="24">
        <v>7879.04</v>
      </c>
      <c r="R44" s="13" t="s">
        <v>222</v>
      </c>
      <c r="S44" s="14" t="s">
        <v>8</v>
      </c>
      <c r="T44" s="15"/>
      <c r="U44" s="15" t="s">
        <v>223</v>
      </c>
      <c r="V44" s="14" t="s">
        <v>38</v>
      </c>
      <c r="W44" s="15"/>
      <c r="X44" s="15" t="s">
        <v>224</v>
      </c>
      <c r="Y44" s="14" t="s">
        <v>38</v>
      </c>
      <c r="Z44" s="15"/>
      <c r="AA44" s="15" t="s">
        <v>225</v>
      </c>
      <c r="AB44" s="16" t="s">
        <v>8</v>
      </c>
    </row>
    <row r="45" spans="1:28" x14ac:dyDescent="0.25">
      <c r="A45" s="21" t="s">
        <v>226</v>
      </c>
      <c r="B45" s="22"/>
      <c r="C45" s="23">
        <v>10457.200000000001</v>
      </c>
      <c r="D45" s="23">
        <v>9936.16</v>
      </c>
      <c r="E45" s="23">
        <v>9234.16</v>
      </c>
      <c r="F45" s="23">
        <v>8250.32</v>
      </c>
      <c r="G45" s="23">
        <v>9362.08</v>
      </c>
      <c r="H45" s="23">
        <v>10773.36</v>
      </c>
      <c r="I45" s="23">
        <v>7197.84</v>
      </c>
      <c r="J45" s="23">
        <v>21178.560000000001</v>
      </c>
      <c r="K45" s="23">
        <v>7679.3600000000006</v>
      </c>
      <c r="L45" s="23">
        <v>28679.040000000001</v>
      </c>
      <c r="M45" s="23">
        <v>27480.959999999999</v>
      </c>
      <c r="N45" s="23">
        <v>7572.2400000000007</v>
      </c>
      <c r="O45" s="23">
        <v>14152.32</v>
      </c>
      <c r="P45" s="24">
        <v>8089.12</v>
      </c>
      <c r="R45" s="6" t="s">
        <v>227</v>
      </c>
      <c r="S45" s="7" t="s">
        <v>8</v>
      </c>
      <c r="T45" s="8"/>
      <c r="U45" s="8" t="s">
        <v>228</v>
      </c>
      <c r="V45" s="7" t="s">
        <v>32</v>
      </c>
      <c r="W45" s="8"/>
      <c r="X45" s="8" t="s">
        <v>229</v>
      </c>
      <c r="Y45" s="7" t="s">
        <v>40</v>
      </c>
      <c r="Z45" s="8"/>
      <c r="AA45" s="8" t="s">
        <v>230</v>
      </c>
      <c r="AB45" s="9" t="s">
        <v>10</v>
      </c>
    </row>
    <row r="46" spans="1:28" x14ac:dyDescent="0.25">
      <c r="A46" s="21" t="s">
        <v>231</v>
      </c>
      <c r="B46" s="22"/>
      <c r="C46" s="23">
        <v>10729.68</v>
      </c>
      <c r="D46" s="23">
        <v>10148.32</v>
      </c>
      <c r="E46" s="23">
        <v>9355.84</v>
      </c>
      <c r="F46" s="23">
        <v>8496.8000000000011</v>
      </c>
      <c r="G46" s="23">
        <v>9586.7200000000012</v>
      </c>
      <c r="H46" s="23">
        <v>11109.28</v>
      </c>
      <c r="I46" s="23">
        <v>7398.56</v>
      </c>
      <c r="J46" s="23">
        <v>21362.639999999999</v>
      </c>
      <c r="K46" s="23">
        <v>7901.92</v>
      </c>
      <c r="L46" s="23">
        <v>28804.880000000001</v>
      </c>
      <c r="M46" s="23">
        <v>27664</v>
      </c>
      <c r="N46" s="23">
        <v>7806.2400000000007</v>
      </c>
      <c r="O46" s="23">
        <v>14425.84</v>
      </c>
      <c r="P46" s="24">
        <v>8299.2000000000007</v>
      </c>
      <c r="R46" s="13" t="s">
        <v>232</v>
      </c>
      <c r="S46" s="14" t="s">
        <v>10</v>
      </c>
      <c r="T46" s="15"/>
      <c r="U46" s="15" t="s">
        <v>233</v>
      </c>
      <c r="V46" s="14" t="s">
        <v>10</v>
      </c>
      <c r="W46" s="15"/>
      <c r="X46" s="15" t="s">
        <v>234</v>
      </c>
      <c r="Y46" s="14" t="s">
        <v>40</v>
      </c>
      <c r="Z46" s="15"/>
      <c r="AA46" s="15" t="s">
        <v>235</v>
      </c>
      <c r="AB46" s="16" t="s">
        <v>8</v>
      </c>
    </row>
    <row r="47" spans="1:28" x14ac:dyDescent="0.25">
      <c r="A47" s="21" t="s">
        <v>236</v>
      </c>
      <c r="B47" s="22"/>
      <c r="C47" s="23">
        <v>11002.16</v>
      </c>
      <c r="D47" s="23">
        <v>10360.48</v>
      </c>
      <c r="E47" s="23">
        <v>9477.52</v>
      </c>
      <c r="F47" s="23">
        <v>8743.2800000000007</v>
      </c>
      <c r="G47" s="23">
        <v>9811.36</v>
      </c>
      <c r="H47" s="23">
        <v>11445.2</v>
      </c>
      <c r="I47" s="23">
        <v>7599.2800000000007</v>
      </c>
      <c r="J47" s="23">
        <v>21546.720000000001</v>
      </c>
      <c r="K47" s="23">
        <v>8124.4800000000005</v>
      </c>
      <c r="L47" s="23">
        <v>28930.720000000001</v>
      </c>
      <c r="M47" s="23">
        <v>27847.040000000001</v>
      </c>
      <c r="N47" s="23">
        <v>8040.2400000000007</v>
      </c>
      <c r="O47" s="23">
        <v>14699.36</v>
      </c>
      <c r="P47" s="24">
        <v>8509.2800000000007</v>
      </c>
      <c r="R47" s="6" t="s">
        <v>237</v>
      </c>
      <c r="S47" s="7" t="s">
        <v>238</v>
      </c>
      <c r="T47" s="8"/>
      <c r="U47" s="8" t="s">
        <v>239</v>
      </c>
      <c r="V47" s="7" t="s">
        <v>51</v>
      </c>
      <c r="W47" s="8"/>
      <c r="X47" s="8" t="s">
        <v>240</v>
      </c>
      <c r="Y47" s="7" t="s">
        <v>8</v>
      </c>
      <c r="Z47" s="8"/>
      <c r="AA47" s="8" t="s">
        <v>241</v>
      </c>
      <c r="AB47" s="9" t="s">
        <v>242</v>
      </c>
    </row>
    <row r="48" spans="1:28" x14ac:dyDescent="0.25">
      <c r="A48" s="21" t="s">
        <v>243</v>
      </c>
      <c r="B48" s="22"/>
      <c r="C48" s="23">
        <v>11274.640000000001</v>
      </c>
      <c r="D48" s="23">
        <v>10572.640000000001</v>
      </c>
      <c r="E48" s="23">
        <v>9599.2000000000007</v>
      </c>
      <c r="F48" s="23">
        <v>8989.76</v>
      </c>
      <c r="G48" s="23">
        <v>10036</v>
      </c>
      <c r="H48" s="23">
        <v>11781.12</v>
      </c>
      <c r="I48" s="23">
        <v>7800</v>
      </c>
      <c r="J48" s="23">
        <v>21730.799999999999</v>
      </c>
      <c r="K48" s="23">
        <v>8347.0400000000009</v>
      </c>
      <c r="L48" s="23">
        <v>29056.560000000001</v>
      </c>
      <c r="M48" s="23">
        <v>28030.080000000002</v>
      </c>
      <c r="N48" s="23">
        <v>8274.24</v>
      </c>
      <c r="O48" s="23">
        <v>14972.880000000001</v>
      </c>
      <c r="P48" s="24">
        <v>8719.36</v>
      </c>
      <c r="R48" s="13" t="s">
        <v>244</v>
      </c>
      <c r="S48" s="14" t="s">
        <v>10</v>
      </c>
      <c r="T48" s="15"/>
      <c r="U48" s="15" t="s">
        <v>245</v>
      </c>
      <c r="V48" s="14" t="s">
        <v>38</v>
      </c>
      <c r="W48" s="15"/>
      <c r="X48" s="15" t="s">
        <v>246</v>
      </c>
      <c r="Y48" s="14" t="s">
        <v>10</v>
      </c>
      <c r="Z48" s="15"/>
      <c r="AA48" s="15" t="s">
        <v>247</v>
      </c>
      <c r="AB48" s="16" t="s">
        <v>30</v>
      </c>
    </row>
    <row r="49" spans="1:28" x14ac:dyDescent="0.25">
      <c r="A49" s="21" t="s">
        <v>248</v>
      </c>
      <c r="B49" s="22"/>
      <c r="C49" s="23">
        <v>11547.12</v>
      </c>
      <c r="D49" s="23">
        <v>10784.800000000001</v>
      </c>
      <c r="E49" s="23">
        <v>9720.880000000001</v>
      </c>
      <c r="F49" s="23">
        <v>9236.24</v>
      </c>
      <c r="G49" s="23">
        <v>10260.640000000001</v>
      </c>
      <c r="H49" s="23">
        <v>12117.04</v>
      </c>
      <c r="I49" s="23">
        <v>8000.72</v>
      </c>
      <c r="J49" s="23">
        <v>21914.880000000001</v>
      </c>
      <c r="K49" s="23">
        <v>8569.6</v>
      </c>
      <c r="L49" s="23">
        <v>29182.400000000001</v>
      </c>
      <c r="M49" s="23">
        <v>28213.120000000003</v>
      </c>
      <c r="N49" s="23">
        <v>8508.24</v>
      </c>
      <c r="O49" s="23">
        <v>15246.4</v>
      </c>
      <c r="P49" s="24">
        <v>8929.44</v>
      </c>
      <c r="R49" s="6" t="s">
        <v>249</v>
      </c>
      <c r="S49" s="7" t="s">
        <v>8</v>
      </c>
      <c r="T49" s="8"/>
      <c r="U49" s="8" t="s">
        <v>250</v>
      </c>
      <c r="V49" s="7" t="s">
        <v>40</v>
      </c>
      <c r="W49" s="8"/>
      <c r="X49" s="8" t="s">
        <v>251</v>
      </c>
      <c r="Y49" s="7" t="s">
        <v>189</v>
      </c>
      <c r="Z49" s="8"/>
      <c r="AA49" s="8" t="s">
        <v>252</v>
      </c>
      <c r="AB49" s="9" t="s">
        <v>8</v>
      </c>
    </row>
    <row r="50" spans="1:28" x14ac:dyDescent="0.25">
      <c r="A50" s="21" t="s">
        <v>253</v>
      </c>
      <c r="B50" s="22"/>
      <c r="C50" s="23">
        <v>11819.6</v>
      </c>
      <c r="D50" s="23">
        <v>10996.960000000001</v>
      </c>
      <c r="E50" s="23">
        <v>9842.56</v>
      </c>
      <c r="F50" s="23">
        <v>9482.7200000000012</v>
      </c>
      <c r="G50" s="23">
        <v>10485.280000000001</v>
      </c>
      <c r="H50" s="23">
        <v>12452.960000000001</v>
      </c>
      <c r="I50" s="23">
        <v>8201.44</v>
      </c>
      <c r="J50" s="23">
        <v>22098.959999999999</v>
      </c>
      <c r="K50" s="23">
        <v>8792.16</v>
      </c>
      <c r="L50" s="23">
        <v>29308.240000000002</v>
      </c>
      <c r="M50" s="23">
        <v>28396.16</v>
      </c>
      <c r="N50" s="23">
        <v>8742.24</v>
      </c>
      <c r="O50" s="23">
        <v>15519.92</v>
      </c>
      <c r="P50" s="24">
        <v>9139.52</v>
      </c>
      <c r="R50" s="13" t="s">
        <v>254</v>
      </c>
      <c r="S50" s="14" t="s">
        <v>8</v>
      </c>
      <c r="T50" s="15"/>
      <c r="U50" s="15" t="s">
        <v>255</v>
      </c>
      <c r="V50" s="14" t="s">
        <v>8</v>
      </c>
      <c r="W50" s="15"/>
      <c r="X50" s="15" t="s">
        <v>256</v>
      </c>
      <c r="Y50" s="14" t="s">
        <v>10</v>
      </c>
      <c r="Z50" s="15"/>
      <c r="AA50" s="15" t="s">
        <v>257</v>
      </c>
      <c r="AB50" s="16" t="s">
        <v>71</v>
      </c>
    </row>
    <row r="51" spans="1:28" x14ac:dyDescent="0.25">
      <c r="A51" s="21" t="s">
        <v>258</v>
      </c>
      <c r="B51" s="22"/>
      <c r="C51" s="23">
        <v>12092.08</v>
      </c>
      <c r="D51" s="23">
        <v>11209.12</v>
      </c>
      <c r="E51" s="23">
        <v>9964.24</v>
      </c>
      <c r="F51" s="23">
        <v>9729.2000000000007</v>
      </c>
      <c r="G51" s="23">
        <v>10709.92</v>
      </c>
      <c r="H51" s="23">
        <v>12788.880000000001</v>
      </c>
      <c r="I51" s="23">
        <v>8402.16</v>
      </c>
      <c r="J51" s="23">
        <v>22283.040000000001</v>
      </c>
      <c r="K51" s="23">
        <v>9014.7200000000012</v>
      </c>
      <c r="L51" s="23">
        <v>29434.080000000002</v>
      </c>
      <c r="M51" s="23">
        <v>28579.200000000001</v>
      </c>
      <c r="N51" s="23">
        <v>8976.24</v>
      </c>
      <c r="O51" s="23">
        <v>15793.44</v>
      </c>
      <c r="P51" s="24">
        <v>9349.6</v>
      </c>
      <c r="R51" s="6" t="s">
        <v>259</v>
      </c>
      <c r="S51" s="7" t="s">
        <v>8</v>
      </c>
      <c r="T51" s="8"/>
      <c r="U51" s="8" t="s">
        <v>260</v>
      </c>
      <c r="V51" s="7" t="s">
        <v>30</v>
      </c>
      <c r="W51" s="8"/>
      <c r="X51" s="8" t="s">
        <v>261</v>
      </c>
      <c r="Y51" s="7" t="s">
        <v>10</v>
      </c>
      <c r="Z51" s="8"/>
      <c r="AA51" s="8" t="s">
        <v>262</v>
      </c>
      <c r="AB51" s="9" t="s">
        <v>32</v>
      </c>
    </row>
    <row r="52" spans="1:28" x14ac:dyDescent="0.25">
      <c r="A52" s="21" t="s">
        <v>263</v>
      </c>
      <c r="B52" s="22"/>
      <c r="C52" s="23">
        <v>12364.560000000001</v>
      </c>
      <c r="D52" s="23">
        <v>11421.28</v>
      </c>
      <c r="E52" s="23">
        <v>10085.92</v>
      </c>
      <c r="F52" s="23">
        <v>9975.68</v>
      </c>
      <c r="G52" s="23">
        <v>10934.56</v>
      </c>
      <c r="H52" s="23">
        <v>13124.800000000001</v>
      </c>
      <c r="I52" s="23">
        <v>8602.880000000001</v>
      </c>
      <c r="J52" s="23">
        <v>22467.119999999999</v>
      </c>
      <c r="K52" s="23">
        <v>9237.2800000000007</v>
      </c>
      <c r="L52" s="23">
        <v>29559.920000000002</v>
      </c>
      <c r="M52" s="23">
        <v>28762.240000000002</v>
      </c>
      <c r="N52" s="23">
        <v>9210.24</v>
      </c>
      <c r="O52" s="23">
        <v>16066.960000000001</v>
      </c>
      <c r="P52" s="24">
        <v>9559.68</v>
      </c>
      <c r="R52" s="13" t="s">
        <v>264</v>
      </c>
      <c r="S52" s="14" t="s">
        <v>8</v>
      </c>
      <c r="T52" s="15"/>
      <c r="U52" s="15" t="s">
        <v>265</v>
      </c>
      <c r="V52" s="14" t="s">
        <v>8</v>
      </c>
      <c r="W52" s="15"/>
      <c r="X52" s="15" t="s">
        <v>266</v>
      </c>
      <c r="Y52" s="14" t="s">
        <v>51</v>
      </c>
      <c r="Z52" s="15"/>
      <c r="AA52" s="15" t="s">
        <v>267</v>
      </c>
      <c r="AB52" s="16" t="s">
        <v>10</v>
      </c>
    </row>
    <row r="53" spans="1:28" x14ac:dyDescent="0.25">
      <c r="A53" s="21" t="s">
        <v>268</v>
      </c>
      <c r="B53" s="22"/>
      <c r="C53" s="23">
        <v>12637.04</v>
      </c>
      <c r="D53" s="23">
        <v>11633.44</v>
      </c>
      <c r="E53" s="23">
        <v>10207.6</v>
      </c>
      <c r="F53" s="23">
        <v>10222.16</v>
      </c>
      <c r="G53" s="23">
        <v>11159.2</v>
      </c>
      <c r="H53" s="23">
        <v>13460.720000000001</v>
      </c>
      <c r="I53" s="23">
        <v>8803.6</v>
      </c>
      <c r="J53" s="23">
        <v>22651.200000000001</v>
      </c>
      <c r="K53" s="23">
        <v>9459.84</v>
      </c>
      <c r="L53" s="23">
        <v>29685.760000000002</v>
      </c>
      <c r="M53" s="23">
        <v>28945.280000000002</v>
      </c>
      <c r="N53" s="23">
        <v>9444.24</v>
      </c>
      <c r="O53" s="23">
        <v>16340.480000000001</v>
      </c>
      <c r="P53" s="24">
        <v>9769.76</v>
      </c>
      <c r="R53" s="6" t="s">
        <v>269</v>
      </c>
      <c r="S53" s="7" t="s">
        <v>10</v>
      </c>
      <c r="T53" s="8"/>
      <c r="U53" s="8" t="s">
        <v>270</v>
      </c>
      <c r="V53" s="7" t="s">
        <v>51</v>
      </c>
      <c r="W53" s="8"/>
      <c r="X53" s="8" t="s">
        <v>271</v>
      </c>
      <c r="Y53" s="7" t="s">
        <v>32</v>
      </c>
      <c r="Z53" s="8"/>
      <c r="AA53" s="8" t="s">
        <v>272</v>
      </c>
      <c r="AB53" s="9" t="s">
        <v>8</v>
      </c>
    </row>
    <row r="54" spans="1:28" x14ac:dyDescent="0.25">
      <c r="A54" s="21" t="s">
        <v>273</v>
      </c>
      <c r="B54" s="22"/>
      <c r="C54" s="23">
        <v>12898.08</v>
      </c>
      <c r="D54" s="23">
        <v>12042.16</v>
      </c>
      <c r="E54" s="23">
        <v>10721.36</v>
      </c>
      <c r="F54" s="23">
        <v>10447.84</v>
      </c>
      <c r="G54" s="23">
        <v>11521.12</v>
      </c>
      <c r="H54" s="23">
        <v>13719.68</v>
      </c>
      <c r="I54" s="23">
        <v>9092.7200000000012</v>
      </c>
      <c r="J54" s="23">
        <v>24912.16</v>
      </c>
      <c r="K54" s="23">
        <v>9938.24</v>
      </c>
      <c r="L54" s="23">
        <v>31973.760000000002</v>
      </c>
      <c r="M54" s="23">
        <v>31297.760000000002</v>
      </c>
      <c r="N54" s="23">
        <v>9915.36</v>
      </c>
      <c r="O54" s="23">
        <v>17290</v>
      </c>
      <c r="P54" s="24">
        <v>10225.280000000001</v>
      </c>
      <c r="R54" s="13" t="s">
        <v>274</v>
      </c>
      <c r="S54" s="14" t="s">
        <v>8</v>
      </c>
      <c r="T54" s="15"/>
      <c r="U54" s="15" t="s">
        <v>275</v>
      </c>
      <c r="V54" s="14" t="s">
        <v>8</v>
      </c>
      <c r="W54" s="15"/>
      <c r="X54" s="15" t="s">
        <v>276</v>
      </c>
      <c r="Y54" s="14" t="s">
        <v>32</v>
      </c>
      <c r="Z54" s="15"/>
      <c r="AA54" s="15" t="s">
        <v>277</v>
      </c>
      <c r="AB54" s="16" t="s">
        <v>8</v>
      </c>
    </row>
    <row r="55" spans="1:28" x14ac:dyDescent="0.25">
      <c r="A55" s="21" t="s">
        <v>278</v>
      </c>
      <c r="B55" s="22"/>
      <c r="C55" s="23">
        <v>13159.12</v>
      </c>
      <c r="D55" s="23">
        <v>12450.880000000001</v>
      </c>
      <c r="E55" s="23">
        <v>11235.12</v>
      </c>
      <c r="F55" s="23">
        <v>10673.52</v>
      </c>
      <c r="G55" s="23">
        <v>11883.04</v>
      </c>
      <c r="H55" s="23">
        <v>13978.640000000001</v>
      </c>
      <c r="I55" s="23">
        <v>9381.84</v>
      </c>
      <c r="J55" s="23">
        <v>27173.120000000003</v>
      </c>
      <c r="K55" s="23">
        <v>10416.640000000001</v>
      </c>
      <c r="L55" s="23">
        <v>34261.760000000002</v>
      </c>
      <c r="M55" s="23">
        <v>33650.239999999998</v>
      </c>
      <c r="N55" s="23">
        <v>10386.48</v>
      </c>
      <c r="O55" s="23">
        <v>18239.52</v>
      </c>
      <c r="P55" s="24">
        <v>10680.800000000001</v>
      </c>
      <c r="R55" s="6" t="s">
        <v>279</v>
      </c>
      <c r="S55" s="7" t="s">
        <v>8</v>
      </c>
      <c r="T55" s="8"/>
      <c r="U55" s="8" t="s">
        <v>280</v>
      </c>
      <c r="V55" s="7" t="s">
        <v>8</v>
      </c>
      <c r="W55" s="8"/>
      <c r="X55" s="8" t="s">
        <v>281</v>
      </c>
      <c r="Y55" s="7" t="s">
        <v>43</v>
      </c>
      <c r="Z55" s="8"/>
      <c r="AA55" s="8" t="s">
        <v>282</v>
      </c>
      <c r="AB55" s="9" t="s">
        <v>32</v>
      </c>
    </row>
    <row r="56" spans="1:28" x14ac:dyDescent="0.25">
      <c r="A56" s="21" t="s">
        <v>283</v>
      </c>
      <c r="B56" s="22"/>
      <c r="C56" s="23">
        <v>13420.16</v>
      </c>
      <c r="D56" s="23">
        <v>12859.6</v>
      </c>
      <c r="E56" s="23">
        <v>11748.880000000001</v>
      </c>
      <c r="F56" s="23">
        <v>10899.2</v>
      </c>
      <c r="G56" s="23">
        <v>12244.960000000001</v>
      </c>
      <c r="H56" s="23">
        <v>14237.6</v>
      </c>
      <c r="I56" s="23">
        <v>9670.9600000000009</v>
      </c>
      <c r="J56" s="23">
        <v>29434.080000000002</v>
      </c>
      <c r="K56" s="23">
        <v>10895.04</v>
      </c>
      <c r="L56" s="23">
        <v>36549.760000000002</v>
      </c>
      <c r="M56" s="23">
        <v>36002.720000000001</v>
      </c>
      <c r="N56" s="23">
        <v>10857.6</v>
      </c>
      <c r="O56" s="23">
        <v>19189.04</v>
      </c>
      <c r="P56" s="24">
        <v>11136.32</v>
      </c>
      <c r="R56" s="13" t="s">
        <v>284</v>
      </c>
      <c r="S56" s="14" t="s">
        <v>10</v>
      </c>
      <c r="T56" s="15"/>
      <c r="U56" s="15" t="s">
        <v>285</v>
      </c>
      <c r="V56" s="14" t="s">
        <v>40</v>
      </c>
      <c r="W56" s="15"/>
      <c r="X56" s="15" t="s">
        <v>286</v>
      </c>
      <c r="Y56" s="14" t="s">
        <v>40</v>
      </c>
      <c r="Z56" s="15"/>
      <c r="AA56" s="15" t="s">
        <v>287</v>
      </c>
      <c r="AB56" s="16" t="s">
        <v>10</v>
      </c>
    </row>
    <row r="57" spans="1:28" x14ac:dyDescent="0.25">
      <c r="A57" s="21" t="s">
        <v>288</v>
      </c>
      <c r="B57" s="22"/>
      <c r="C57" s="23">
        <v>13681.2</v>
      </c>
      <c r="D57" s="23">
        <v>13268.32</v>
      </c>
      <c r="E57" s="23">
        <v>12262.640000000001</v>
      </c>
      <c r="F57" s="23">
        <v>11124.880000000001</v>
      </c>
      <c r="G57" s="23">
        <v>12606.880000000001</v>
      </c>
      <c r="H57" s="23">
        <v>14496.560000000001</v>
      </c>
      <c r="I57" s="23">
        <v>9960.08</v>
      </c>
      <c r="J57" s="23">
        <v>31695.040000000001</v>
      </c>
      <c r="K57" s="23">
        <v>11373.44</v>
      </c>
      <c r="L57" s="23">
        <v>38837.760000000002</v>
      </c>
      <c r="M57" s="23">
        <v>38355.200000000004</v>
      </c>
      <c r="N57" s="23">
        <v>11328.720000000001</v>
      </c>
      <c r="O57" s="23">
        <v>20138.560000000001</v>
      </c>
      <c r="P57" s="24">
        <v>11591.84</v>
      </c>
      <c r="R57" s="6" t="s">
        <v>289</v>
      </c>
      <c r="S57" s="7" t="s">
        <v>10</v>
      </c>
      <c r="T57" s="8"/>
      <c r="U57" s="8" t="s">
        <v>290</v>
      </c>
      <c r="V57" s="7" t="s">
        <v>8</v>
      </c>
      <c r="W57" s="8"/>
      <c r="X57" s="8" t="s">
        <v>291</v>
      </c>
      <c r="Y57" s="7" t="s">
        <v>8</v>
      </c>
      <c r="Z57" s="8"/>
      <c r="AA57" s="8" t="s">
        <v>292</v>
      </c>
      <c r="AB57" s="9" t="s">
        <v>51</v>
      </c>
    </row>
    <row r="58" spans="1:28" x14ac:dyDescent="0.25">
      <c r="A58" s="21" t="s">
        <v>293</v>
      </c>
      <c r="B58" s="22"/>
      <c r="C58" s="23">
        <v>13942.24</v>
      </c>
      <c r="D58" s="23">
        <v>13677.04</v>
      </c>
      <c r="E58" s="23">
        <v>12776.4</v>
      </c>
      <c r="F58" s="23">
        <v>11350.56</v>
      </c>
      <c r="G58" s="23">
        <v>12968.800000000001</v>
      </c>
      <c r="H58" s="23">
        <v>14755.52</v>
      </c>
      <c r="I58" s="23">
        <v>10249.200000000001</v>
      </c>
      <c r="J58" s="23">
        <v>33956</v>
      </c>
      <c r="K58" s="23">
        <v>11851.84</v>
      </c>
      <c r="L58" s="23">
        <v>41125.760000000002</v>
      </c>
      <c r="M58" s="23">
        <v>40707.68</v>
      </c>
      <c r="N58" s="23">
        <v>11799.84</v>
      </c>
      <c r="O58" s="23">
        <v>21088.080000000002</v>
      </c>
      <c r="P58" s="24">
        <v>12047.36</v>
      </c>
      <c r="R58" s="13" t="s">
        <v>294</v>
      </c>
      <c r="S58" s="14" t="s">
        <v>38</v>
      </c>
      <c r="T58" s="15"/>
      <c r="U58" s="15" t="s">
        <v>295</v>
      </c>
      <c r="V58" s="14" t="s">
        <v>51</v>
      </c>
      <c r="W58" s="15"/>
      <c r="X58" s="15" t="s">
        <v>296</v>
      </c>
      <c r="Y58" s="14" t="s">
        <v>32</v>
      </c>
      <c r="Z58" s="15"/>
      <c r="AA58" s="15" t="s">
        <v>297</v>
      </c>
      <c r="AB58" s="16" t="s">
        <v>10</v>
      </c>
    </row>
    <row r="59" spans="1:28" x14ac:dyDescent="0.25">
      <c r="A59" s="21" t="s">
        <v>298</v>
      </c>
      <c r="B59" s="22"/>
      <c r="C59" s="23">
        <v>14203.28</v>
      </c>
      <c r="D59" s="23">
        <v>14085.76</v>
      </c>
      <c r="E59" s="23">
        <v>13290.16</v>
      </c>
      <c r="F59" s="23">
        <v>11576.24</v>
      </c>
      <c r="G59" s="23">
        <v>13330.720000000001</v>
      </c>
      <c r="H59" s="23">
        <v>15014.480000000001</v>
      </c>
      <c r="I59" s="23">
        <v>10538.32</v>
      </c>
      <c r="J59" s="23">
        <v>36216.959999999999</v>
      </c>
      <c r="K59" s="23">
        <v>12330.24</v>
      </c>
      <c r="L59" s="23">
        <v>43413.760000000002</v>
      </c>
      <c r="M59" s="23">
        <v>43060.160000000003</v>
      </c>
      <c r="N59" s="23">
        <v>12270.960000000001</v>
      </c>
      <c r="O59" s="23">
        <v>22037.600000000002</v>
      </c>
      <c r="P59" s="24">
        <v>12502.880000000001</v>
      </c>
      <c r="R59" s="6" t="s">
        <v>299</v>
      </c>
      <c r="S59" s="7" t="s">
        <v>32</v>
      </c>
      <c r="T59" s="8"/>
      <c r="U59" s="8" t="s">
        <v>300</v>
      </c>
      <c r="V59" s="7" t="s">
        <v>38</v>
      </c>
      <c r="W59" s="8"/>
      <c r="X59" s="8" t="s">
        <v>301</v>
      </c>
      <c r="Y59" s="7" t="s">
        <v>8</v>
      </c>
      <c r="Z59" s="8"/>
      <c r="AA59" s="8" t="s">
        <v>302</v>
      </c>
      <c r="AB59" s="9" t="s">
        <v>43</v>
      </c>
    </row>
    <row r="60" spans="1:28" x14ac:dyDescent="0.25">
      <c r="A60" s="21" t="s">
        <v>303</v>
      </c>
      <c r="B60" s="22"/>
      <c r="C60" s="23">
        <v>14464.32</v>
      </c>
      <c r="D60" s="23">
        <v>14494.480000000001</v>
      </c>
      <c r="E60" s="23">
        <v>13803.92</v>
      </c>
      <c r="F60" s="23">
        <v>11801.92</v>
      </c>
      <c r="G60" s="23">
        <v>13692.640000000001</v>
      </c>
      <c r="H60" s="23">
        <v>15273.44</v>
      </c>
      <c r="I60" s="23">
        <v>10827.44</v>
      </c>
      <c r="J60" s="23">
        <v>38477.919999999998</v>
      </c>
      <c r="K60" s="23">
        <v>12808.640000000001</v>
      </c>
      <c r="L60" s="23">
        <v>45701.760000000002</v>
      </c>
      <c r="M60" s="23">
        <v>45412.639999999999</v>
      </c>
      <c r="N60" s="23">
        <v>12742.08</v>
      </c>
      <c r="O60" s="23">
        <v>22987.119999999999</v>
      </c>
      <c r="P60" s="24">
        <v>12958.4</v>
      </c>
      <c r="R60" s="13" t="s">
        <v>304</v>
      </c>
      <c r="S60" s="14" t="s">
        <v>32</v>
      </c>
      <c r="T60" s="15"/>
      <c r="U60" s="15" t="s">
        <v>305</v>
      </c>
      <c r="V60" s="14" t="s">
        <v>8</v>
      </c>
      <c r="W60" s="15"/>
      <c r="X60" s="15" t="s">
        <v>306</v>
      </c>
      <c r="Y60" s="14" t="s">
        <v>8</v>
      </c>
      <c r="Z60" s="15"/>
      <c r="AA60" s="15" t="s">
        <v>307</v>
      </c>
      <c r="AB60" s="16" t="s">
        <v>8</v>
      </c>
    </row>
    <row r="61" spans="1:28" x14ac:dyDescent="0.25">
      <c r="A61" s="21" t="s">
        <v>308</v>
      </c>
      <c r="B61" s="22"/>
      <c r="C61" s="23">
        <v>14725.36</v>
      </c>
      <c r="D61" s="23">
        <v>14903.2</v>
      </c>
      <c r="E61" s="23">
        <v>14317.68</v>
      </c>
      <c r="F61" s="23">
        <v>12027.6</v>
      </c>
      <c r="G61" s="23">
        <v>14054.560000000001</v>
      </c>
      <c r="H61" s="23">
        <v>15532.4</v>
      </c>
      <c r="I61" s="23">
        <v>11116.56</v>
      </c>
      <c r="J61" s="23">
        <v>40738.880000000005</v>
      </c>
      <c r="K61" s="23">
        <v>13287.04</v>
      </c>
      <c r="L61" s="23">
        <v>47989.760000000002</v>
      </c>
      <c r="M61" s="23">
        <v>47765.120000000003</v>
      </c>
      <c r="N61" s="23">
        <v>13213.2</v>
      </c>
      <c r="O61" s="23">
        <v>23936.639999999999</v>
      </c>
      <c r="P61" s="24">
        <v>13413.92</v>
      </c>
      <c r="R61" s="6" t="s">
        <v>309</v>
      </c>
      <c r="S61" s="7" t="s">
        <v>8</v>
      </c>
      <c r="T61" s="8"/>
      <c r="U61" s="8" t="s">
        <v>310</v>
      </c>
      <c r="V61" s="7" t="s">
        <v>8</v>
      </c>
      <c r="W61" s="8"/>
      <c r="X61" s="8" t="s">
        <v>311</v>
      </c>
      <c r="Y61" s="7" t="s">
        <v>8</v>
      </c>
      <c r="Z61" s="8"/>
      <c r="AA61" s="8" t="s">
        <v>312</v>
      </c>
      <c r="AB61" s="9" t="s">
        <v>8</v>
      </c>
    </row>
    <row r="62" spans="1:28" x14ac:dyDescent="0.25">
      <c r="A62" s="21" t="s">
        <v>313</v>
      </c>
      <c r="B62" s="22"/>
      <c r="C62" s="23">
        <v>14986.4</v>
      </c>
      <c r="D62" s="23">
        <v>15311.92</v>
      </c>
      <c r="E62" s="23">
        <v>14831.44</v>
      </c>
      <c r="F62" s="23">
        <v>12253.28</v>
      </c>
      <c r="G62" s="23">
        <v>14416.480000000001</v>
      </c>
      <c r="H62" s="23">
        <v>15791.36</v>
      </c>
      <c r="I62" s="23">
        <v>11405.68</v>
      </c>
      <c r="J62" s="23">
        <v>42999.840000000004</v>
      </c>
      <c r="K62" s="23">
        <v>13765.44</v>
      </c>
      <c r="L62" s="23">
        <v>50277.760000000002</v>
      </c>
      <c r="M62" s="23">
        <v>50117.599999999999</v>
      </c>
      <c r="N62" s="23">
        <v>13684.32</v>
      </c>
      <c r="O62" s="23">
        <v>24886.16</v>
      </c>
      <c r="P62" s="24">
        <v>13869.44</v>
      </c>
      <c r="R62" s="13" t="s">
        <v>314</v>
      </c>
      <c r="S62" s="14" t="s">
        <v>10</v>
      </c>
      <c r="T62" s="15"/>
      <c r="U62" s="15" t="s">
        <v>315</v>
      </c>
      <c r="V62" s="14" t="s">
        <v>8</v>
      </c>
      <c r="W62" s="15"/>
      <c r="X62" s="15" t="s">
        <v>316</v>
      </c>
      <c r="Y62" s="14" t="s">
        <v>8</v>
      </c>
      <c r="Z62" s="15"/>
      <c r="AA62" s="15" t="s">
        <v>317</v>
      </c>
      <c r="AB62" s="16" t="s">
        <v>30</v>
      </c>
    </row>
    <row r="63" spans="1:28" ht="15.75" thickBot="1" x14ac:dyDescent="0.3">
      <c r="A63" s="25" t="s">
        <v>318</v>
      </c>
      <c r="B63" s="26"/>
      <c r="C63" s="27">
        <v>15247.44</v>
      </c>
      <c r="D63" s="27">
        <v>15720.640000000001</v>
      </c>
      <c r="E63" s="27">
        <v>15345.2</v>
      </c>
      <c r="F63" s="27">
        <v>12478.960000000001</v>
      </c>
      <c r="G63" s="27">
        <v>14778.4</v>
      </c>
      <c r="H63" s="27">
        <v>16050.32</v>
      </c>
      <c r="I63" s="27">
        <v>11694.800000000001</v>
      </c>
      <c r="J63" s="27">
        <v>45260.800000000003</v>
      </c>
      <c r="K63" s="27">
        <v>14243.84</v>
      </c>
      <c r="L63" s="27">
        <v>52565.760000000002</v>
      </c>
      <c r="M63" s="27">
        <v>52470.080000000002</v>
      </c>
      <c r="N63" s="27">
        <v>14155.44</v>
      </c>
      <c r="O63" s="27">
        <v>25835.68</v>
      </c>
      <c r="P63" s="28">
        <v>14324.960000000001</v>
      </c>
      <c r="R63" s="29" t="s">
        <v>319</v>
      </c>
      <c r="S63" s="30" t="s">
        <v>10</v>
      </c>
      <c r="T63" s="31"/>
      <c r="U63" s="31"/>
      <c r="V63" s="31"/>
      <c r="W63" s="31"/>
      <c r="X63" s="31"/>
      <c r="Y63" s="31"/>
      <c r="Z63" s="31"/>
      <c r="AA63" s="31"/>
      <c r="AB63" s="32"/>
    </row>
    <row r="64" spans="1:28" x14ac:dyDescent="0.25">
      <c r="A64" s="138"/>
      <c r="B64" s="139"/>
      <c r="C64" s="139"/>
      <c r="D64" s="139"/>
      <c r="E64" s="139"/>
      <c r="F64" s="139"/>
      <c r="G64" s="139"/>
      <c r="H64" s="139"/>
      <c r="I64" s="139"/>
      <c r="J64" s="139"/>
      <c r="K64" s="139"/>
      <c r="L64" s="139"/>
      <c r="M64" s="139"/>
      <c r="N64" s="139"/>
      <c r="O64" s="139"/>
      <c r="P64" s="140"/>
    </row>
    <row r="65" spans="1:16" ht="19.5" thickBot="1" x14ac:dyDescent="0.35">
      <c r="A65" s="141" t="s">
        <v>320</v>
      </c>
      <c r="B65" s="142"/>
      <c r="C65" s="142"/>
      <c r="D65" s="142"/>
      <c r="E65" s="142"/>
      <c r="F65" s="142"/>
      <c r="G65" s="142"/>
      <c r="H65" s="142"/>
      <c r="I65" s="142"/>
      <c r="J65" s="142"/>
      <c r="K65" s="142"/>
      <c r="L65" s="142"/>
      <c r="M65" s="142"/>
      <c r="N65" s="142"/>
      <c r="O65" s="142"/>
      <c r="P65" s="143"/>
    </row>
    <row r="66" spans="1:16" ht="18" thickBot="1" x14ac:dyDescent="0.35">
      <c r="A66" s="10" t="s">
        <v>321</v>
      </c>
      <c r="B66" s="11" t="s">
        <v>322</v>
      </c>
      <c r="C66" s="11" t="s">
        <v>14</v>
      </c>
      <c r="D66" s="11" t="s">
        <v>15</v>
      </c>
      <c r="E66" s="11" t="s">
        <v>16</v>
      </c>
      <c r="F66" s="11" t="s">
        <v>17</v>
      </c>
      <c r="G66" s="11" t="s">
        <v>18</v>
      </c>
      <c r="H66" s="11" t="s">
        <v>19</v>
      </c>
      <c r="I66" s="11" t="s">
        <v>20</v>
      </c>
      <c r="J66" s="11" t="s">
        <v>21</v>
      </c>
      <c r="K66" s="11" t="s">
        <v>22</v>
      </c>
      <c r="L66" s="11" t="s">
        <v>23</v>
      </c>
      <c r="M66" s="11" t="s">
        <v>24</v>
      </c>
      <c r="N66" s="11" t="s">
        <v>25</v>
      </c>
      <c r="O66" s="11" t="s">
        <v>26</v>
      </c>
      <c r="P66" s="12" t="s">
        <v>27</v>
      </c>
    </row>
    <row r="67" spans="1:16" x14ac:dyDescent="0.25">
      <c r="A67" s="17" t="s">
        <v>323</v>
      </c>
      <c r="B67" s="33" t="s">
        <v>324</v>
      </c>
      <c r="C67" s="34">
        <v>447.2</v>
      </c>
      <c r="D67" s="34">
        <v>447.2</v>
      </c>
      <c r="E67" s="34">
        <v>503.36</v>
      </c>
      <c r="F67" s="34">
        <v>405.6</v>
      </c>
      <c r="G67" s="34">
        <v>620.88</v>
      </c>
      <c r="H67" s="34">
        <v>521.04</v>
      </c>
      <c r="I67" s="34">
        <v>397.28000000000003</v>
      </c>
      <c r="J67" s="34">
        <v>1432.0800000000002</v>
      </c>
      <c r="K67" s="34">
        <v>480.48</v>
      </c>
      <c r="L67" s="34">
        <v>867.36</v>
      </c>
      <c r="M67" s="34">
        <v>867.36</v>
      </c>
      <c r="N67" s="34">
        <v>460.72</v>
      </c>
      <c r="O67" s="34">
        <v>767.52</v>
      </c>
      <c r="P67" s="35">
        <v>478.40000000000003</v>
      </c>
    </row>
    <row r="68" spans="1:16" x14ac:dyDescent="0.25">
      <c r="A68" s="21" t="s">
        <v>325</v>
      </c>
      <c r="B68" s="36" t="s">
        <v>326</v>
      </c>
      <c r="C68" s="37">
        <v>414.96000000000004</v>
      </c>
      <c r="D68" s="37">
        <v>455.52000000000004</v>
      </c>
      <c r="E68" s="37">
        <v>455.52000000000004</v>
      </c>
      <c r="F68" s="37">
        <v>407.68</v>
      </c>
      <c r="G68" s="37">
        <v>533.52</v>
      </c>
      <c r="H68" s="37">
        <v>521.04</v>
      </c>
      <c r="I68" s="37">
        <v>362.96000000000004</v>
      </c>
      <c r="J68" s="37">
        <v>648.96</v>
      </c>
      <c r="K68" s="37">
        <v>480.48</v>
      </c>
      <c r="L68" s="37">
        <v>867.36</v>
      </c>
      <c r="M68" s="37">
        <v>867.36</v>
      </c>
      <c r="N68" s="37">
        <v>455.52000000000004</v>
      </c>
      <c r="O68" s="37">
        <v>767.52</v>
      </c>
      <c r="P68" s="38">
        <v>478.40000000000003</v>
      </c>
    </row>
    <row r="69" spans="1:16" x14ac:dyDescent="0.25">
      <c r="A69" s="21" t="s">
        <v>327</v>
      </c>
      <c r="B69" s="36" t="s">
        <v>328</v>
      </c>
      <c r="C69" s="37">
        <v>390</v>
      </c>
      <c r="D69" s="37">
        <v>414.96000000000004</v>
      </c>
      <c r="E69" s="37">
        <v>414.96000000000004</v>
      </c>
      <c r="F69" s="37">
        <v>405.6</v>
      </c>
      <c r="G69" s="37">
        <v>505.44</v>
      </c>
      <c r="H69" s="37">
        <v>511.68</v>
      </c>
      <c r="I69" s="37">
        <v>287.04000000000002</v>
      </c>
      <c r="J69" s="37">
        <v>584.48</v>
      </c>
      <c r="K69" s="37">
        <v>456.56</v>
      </c>
      <c r="L69" s="37">
        <v>867.36</v>
      </c>
      <c r="M69" s="37">
        <v>867.36</v>
      </c>
      <c r="N69" s="37">
        <v>431.6</v>
      </c>
      <c r="O69" s="37">
        <v>720.72</v>
      </c>
      <c r="P69" s="38">
        <v>453.44</v>
      </c>
    </row>
    <row r="70" spans="1:16" x14ac:dyDescent="0.25">
      <c r="A70" s="21" t="s">
        <v>329</v>
      </c>
      <c r="B70" s="36" t="s">
        <v>330</v>
      </c>
      <c r="C70" s="37">
        <v>352.56</v>
      </c>
      <c r="D70" s="37">
        <v>352.56</v>
      </c>
      <c r="E70" s="37">
        <v>352.56</v>
      </c>
      <c r="F70" s="37">
        <v>405.6</v>
      </c>
      <c r="G70" s="37">
        <v>440.96000000000004</v>
      </c>
      <c r="H70" s="37">
        <v>511.68</v>
      </c>
      <c r="I70" s="37">
        <v>287.04000000000002</v>
      </c>
      <c r="J70" s="37">
        <v>520</v>
      </c>
      <c r="K70" s="37">
        <v>456.56</v>
      </c>
      <c r="L70" s="37">
        <v>867.36</v>
      </c>
      <c r="M70" s="37">
        <v>867.36</v>
      </c>
      <c r="N70" s="37">
        <v>431.6</v>
      </c>
      <c r="O70" s="37">
        <v>720.72</v>
      </c>
      <c r="P70" s="38">
        <v>453.44</v>
      </c>
    </row>
    <row r="71" spans="1:16" x14ac:dyDescent="0.25">
      <c r="A71" s="21" t="s">
        <v>331</v>
      </c>
      <c r="B71" s="36" t="s">
        <v>332</v>
      </c>
      <c r="C71" s="37">
        <v>338</v>
      </c>
      <c r="D71" s="37">
        <v>338</v>
      </c>
      <c r="E71" s="37">
        <v>338</v>
      </c>
      <c r="F71" s="37">
        <v>405.6</v>
      </c>
      <c r="G71" s="37">
        <v>433.68</v>
      </c>
      <c r="H71" s="37">
        <v>511.68</v>
      </c>
      <c r="I71" s="37">
        <v>287.04000000000002</v>
      </c>
      <c r="J71" s="37">
        <v>496.08000000000004</v>
      </c>
      <c r="K71" s="37">
        <v>465.92</v>
      </c>
      <c r="L71" s="37">
        <v>867.36</v>
      </c>
      <c r="M71" s="37">
        <v>867.36</v>
      </c>
      <c r="N71" s="37">
        <v>434.72</v>
      </c>
      <c r="O71" s="37">
        <v>740.48</v>
      </c>
      <c r="P71" s="38">
        <v>453.44</v>
      </c>
    </row>
    <row r="72" spans="1:16" ht="15.75" thickBot="1" x14ac:dyDescent="0.3">
      <c r="A72" s="25" t="s">
        <v>333</v>
      </c>
      <c r="B72" s="39" t="s">
        <v>334</v>
      </c>
      <c r="C72" s="40">
        <v>326.56</v>
      </c>
      <c r="D72" s="40">
        <v>338</v>
      </c>
      <c r="E72" s="40">
        <v>338</v>
      </c>
      <c r="F72" s="40">
        <v>405.6</v>
      </c>
      <c r="G72" s="40">
        <v>414.96000000000004</v>
      </c>
      <c r="H72" s="40">
        <v>511.68</v>
      </c>
      <c r="I72" s="40">
        <v>287.04000000000002</v>
      </c>
      <c r="J72" s="40">
        <v>468</v>
      </c>
      <c r="K72" s="40">
        <v>465.92</v>
      </c>
      <c r="L72" s="40">
        <v>867.36</v>
      </c>
      <c r="M72" s="40">
        <v>867.36</v>
      </c>
      <c r="N72" s="40">
        <v>434.72</v>
      </c>
      <c r="O72" s="40">
        <v>740.48</v>
      </c>
      <c r="P72" s="41">
        <v>453.44</v>
      </c>
    </row>
    <row r="73" spans="1:16" ht="15.75" thickBot="1" x14ac:dyDescent="0.3">
      <c r="A73" s="42"/>
      <c r="B73" s="43"/>
      <c r="C73" s="44"/>
      <c r="D73" s="44"/>
      <c r="E73" s="44"/>
      <c r="F73" s="44"/>
      <c r="G73" s="44"/>
      <c r="H73" s="44"/>
      <c r="I73" s="44"/>
      <c r="J73" s="44"/>
      <c r="K73" s="44"/>
      <c r="L73" s="44"/>
      <c r="M73" s="44"/>
      <c r="N73" s="44"/>
      <c r="O73" s="44"/>
      <c r="P73" s="45"/>
    </row>
    <row r="74" spans="1:16" ht="18" x14ac:dyDescent="0.25">
      <c r="A74" s="46" t="s">
        <v>335</v>
      </c>
      <c r="B74" s="47"/>
      <c r="C74" s="47"/>
      <c r="D74" s="47"/>
      <c r="E74" s="47"/>
      <c r="F74" s="47"/>
      <c r="G74" s="47"/>
      <c r="H74" s="47"/>
      <c r="I74" s="47"/>
      <c r="J74" s="47"/>
      <c r="K74" s="47"/>
      <c r="L74" s="47"/>
      <c r="M74" s="47"/>
      <c r="N74" s="47"/>
      <c r="O74" s="47"/>
      <c r="P74" s="48"/>
    </row>
    <row r="75" spans="1:16" ht="150.6" customHeight="1" x14ac:dyDescent="0.25">
      <c r="A75" s="144" t="s">
        <v>336</v>
      </c>
      <c r="B75" s="145"/>
      <c r="C75" s="145"/>
      <c r="D75" s="145"/>
      <c r="E75" s="145"/>
      <c r="F75" s="145"/>
      <c r="G75" s="145"/>
      <c r="H75" s="145"/>
      <c r="I75" s="145"/>
      <c r="J75" s="145"/>
      <c r="K75" s="145"/>
      <c r="L75" s="145"/>
      <c r="M75" s="145"/>
      <c r="N75" s="145"/>
      <c r="O75" s="145"/>
      <c r="P75" s="146"/>
    </row>
    <row r="76" spans="1:16" ht="15.75" thickBot="1" x14ac:dyDescent="0.3">
      <c r="A76" s="49" t="s">
        <v>337</v>
      </c>
      <c r="B76" s="31"/>
      <c r="C76" s="31"/>
      <c r="D76" s="31"/>
      <c r="E76" s="31"/>
      <c r="F76" s="31"/>
      <c r="G76" s="31"/>
      <c r="H76" s="31"/>
      <c r="I76" s="31"/>
      <c r="J76" s="31"/>
      <c r="K76" s="31"/>
      <c r="L76" s="31"/>
      <c r="M76" s="31"/>
      <c r="N76" s="31"/>
      <c r="O76" s="31"/>
      <c r="P76" s="32"/>
    </row>
    <row r="80" spans="1:16" x14ac:dyDescent="0.25">
      <c r="A80" s="50"/>
    </row>
    <row r="81" spans="1:1" x14ac:dyDescent="0.25">
      <c r="A81" s="51"/>
    </row>
    <row r="82" spans="1:1" x14ac:dyDescent="0.25">
      <c r="A82" s="51"/>
    </row>
    <row r="83" spans="1:1" x14ac:dyDescent="0.25">
      <c r="A83" s="51"/>
    </row>
    <row r="84" spans="1:1" x14ac:dyDescent="0.25">
      <c r="A84" s="51"/>
    </row>
    <row r="85" spans="1:1" x14ac:dyDescent="0.25">
      <c r="A85" s="50"/>
    </row>
    <row r="86" spans="1:1" x14ac:dyDescent="0.25">
      <c r="A86" s="50"/>
    </row>
  </sheetData>
  <mergeCells count="11">
    <mergeCell ref="A11:P11"/>
    <mergeCell ref="A12:P12"/>
    <mergeCell ref="A64:P64"/>
    <mergeCell ref="A65:P65"/>
    <mergeCell ref="A75:P75"/>
    <mergeCell ref="A5:P5"/>
    <mergeCell ref="A1:P1"/>
    <mergeCell ref="A2:P2"/>
    <mergeCell ref="A3:P3"/>
    <mergeCell ref="R3:AB3"/>
    <mergeCell ref="A4:P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44BB-84D8-4845-9B86-D9F42F85DE71}">
  <dimension ref="B1:AH123"/>
  <sheetViews>
    <sheetView workbookViewId="0">
      <selection activeCell="L93" sqref="L93"/>
    </sheetView>
  </sheetViews>
  <sheetFormatPr defaultRowHeight="15" x14ac:dyDescent="0.25"/>
  <cols>
    <col min="2" max="2" width="11.85546875" customWidth="1"/>
    <col min="5" max="5" width="10" bestFit="1" customWidth="1"/>
    <col min="7" max="7" width="10" customWidth="1"/>
    <col min="8" max="8" width="10.42578125" bestFit="1" customWidth="1"/>
    <col min="9" max="9" width="12.5703125" customWidth="1"/>
    <col min="10" max="10" width="9.5703125" bestFit="1" customWidth="1"/>
    <col min="12" max="12" width="10.28515625" customWidth="1"/>
    <col min="13" max="13" width="10.5703125" bestFit="1" customWidth="1"/>
    <col min="16" max="16" width="11.42578125" customWidth="1"/>
    <col min="17" max="17" width="12" customWidth="1"/>
    <col min="18" max="18" width="6.42578125" customWidth="1"/>
    <col min="19" max="19" width="11.42578125" customWidth="1"/>
    <col min="20" max="20" width="10.85546875" customWidth="1"/>
    <col min="27" max="27" width="17.5703125" customWidth="1"/>
    <col min="28" max="28" width="36.7109375" customWidth="1"/>
    <col min="29" max="29" width="27.5703125" customWidth="1"/>
    <col min="30" max="30" width="13.85546875" customWidth="1"/>
  </cols>
  <sheetData>
    <row r="1" spans="2:34" x14ac:dyDescent="0.25">
      <c r="P1" s="176"/>
      <c r="Q1" s="177"/>
      <c r="R1" s="177"/>
      <c r="S1" s="178"/>
      <c r="T1" s="177"/>
      <c r="U1" s="177"/>
    </row>
    <row r="2" spans="2:34" x14ac:dyDescent="0.25">
      <c r="P2" s="179"/>
      <c r="Q2" s="177"/>
      <c r="R2" s="177"/>
      <c r="S2" s="179"/>
      <c r="T2" s="177"/>
      <c r="U2" s="177"/>
    </row>
    <row r="3" spans="2:34" x14ac:dyDescent="0.25">
      <c r="P3" s="179"/>
      <c r="Q3" s="179"/>
      <c r="R3" s="177"/>
      <c r="S3" s="178"/>
      <c r="T3" s="177"/>
      <c r="U3" s="177"/>
      <c r="Z3" s="182"/>
      <c r="AA3" s="182"/>
      <c r="AB3" s="182"/>
      <c r="AC3" s="182"/>
      <c r="AD3" s="182"/>
      <c r="AE3" s="182"/>
      <c r="AF3" s="182"/>
      <c r="AG3" s="182"/>
      <c r="AH3" s="182"/>
    </row>
    <row r="4" spans="2:34" x14ac:dyDescent="0.25">
      <c r="B4" s="53"/>
      <c r="C4" s="53"/>
      <c r="D4" s="53"/>
      <c r="E4" s="54" t="s">
        <v>338</v>
      </c>
      <c r="F4" s="55"/>
      <c r="G4" s="55"/>
      <c r="H4" s="56" t="s">
        <v>339</v>
      </c>
      <c r="I4" s="55"/>
      <c r="J4" s="55"/>
      <c r="K4" s="57" t="s">
        <v>340</v>
      </c>
      <c r="L4" s="58"/>
      <c r="M4" s="58"/>
      <c r="N4" s="59" t="s">
        <v>341</v>
      </c>
      <c r="P4" s="177"/>
      <c r="Q4" s="180"/>
      <c r="R4" s="180"/>
      <c r="S4" s="181"/>
      <c r="T4" s="181"/>
      <c r="U4" s="177"/>
      <c r="Z4" s="182"/>
      <c r="AA4" s="182"/>
      <c r="AB4" s="182"/>
      <c r="AC4" s="183"/>
      <c r="AD4" s="182"/>
      <c r="AE4" s="182"/>
      <c r="AF4" s="182"/>
      <c r="AG4" s="182"/>
      <c r="AH4" s="182"/>
    </row>
    <row r="5" spans="2:34" x14ac:dyDescent="0.25">
      <c r="B5" s="55" t="s">
        <v>342</v>
      </c>
      <c r="C5" s="60"/>
      <c r="D5" s="61"/>
      <c r="E5" s="62">
        <v>397</v>
      </c>
      <c r="F5" s="63"/>
      <c r="G5" s="60"/>
      <c r="H5" s="60">
        <v>6942</v>
      </c>
      <c r="I5" s="60"/>
      <c r="J5" s="60"/>
      <c r="K5" s="60">
        <v>0</v>
      </c>
      <c r="L5" s="64"/>
      <c r="M5" s="64"/>
      <c r="N5" s="65">
        <v>0</v>
      </c>
      <c r="P5" s="177"/>
      <c r="Q5" s="180"/>
      <c r="R5" s="180"/>
      <c r="S5" s="181"/>
      <c r="T5" s="181"/>
      <c r="U5" s="177"/>
      <c r="Z5" s="182"/>
      <c r="AA5" s="182"/>
      <c r="AB5" s="184"/>
      <c r="AC5" s="184"/>
      <c r="AD5" s="184"/>
      <c r="AE5" s="184"/>
      <c r="AF5" s="184"/>
      <c r="AG5" s="185"/>
      <c r="AH5" s="182"/>
    </row>
    <row r="6" spans="2:34" x14ac:dyDescent="0.25">
      <c r="B6" s="55" t="s">
        <v>343</v>
      </c>
      <c r="C6" s="60">
        <v>30</v>
      </c>
      <c r="D6" s="60">
        <v>1</v>
      </c>
      <c r="E6" s="60">
        <f>(C6*D6)</f>
        <v>30</v>
      </c>
      <c r="F6" s="60">
        <v>94</v>
      </c>
      <c r="G6" s="60">
        <v>15</v>
      </c>
      <c r="H6" s="60">
        <f>(F6*G6)</f>
        <v>1410</v>
      </c>
      <c r="I6" s="60">
        <v>133</v>
      </c>
      <c r="J6" s="60">
        <v>0</v>
      </c>
      <c r="K6" s="60">
        <f>(I6*J6)</f>
        <v>0</v>
      </c>
      <c r="L6" s="65">
        <v>15</v>
      </c>
      <c r="M6" s="65">
        <v>0</v>
      </c>
      <c r="N6" s="60">
        <f>(L6*M6)</f>
        <v>0</v>
      </c>
      <c r="P6" s="177"/>
      <c r="Q6" s="180"/>
      <c r="R6" s="180"/>
      <c r="S6" s="181"/>
      <c r="T6" s="181"/>
      <c r="U6" s="177"/>
      <c r="Z6" s="182"/>
      <c r="AA6" s="185"/>
      <c r="AB6" s="186"/>
      <c r="AC6" s="186"/>
      <c r="AD6" s="186"/>
      <c r="AE6" s="186"/>
      <c r="AF6" s="185"/>
      <c r="AG6" s="185"/>
      <c r="AH6" s="187"/>
    </row>
    <row r="7" spans="2:34" x14ac:dyDescent="0.25">
      <c r="B7" s="53"/>
      <c r="C7" s="60"/>
      <c r="D7" s="60"/>
      <c r="E7" s="66">
        <f>(E5+E6)</f>
        <v>427</v>
      </c>
      <c r="F7" s="60"/>
      <c r="G7" s="60"/>
      <c r="H7" s="66">
        <f>(H5+H6)</f>
        <v>8352</v>
      </c>
      <c r="I7" s="60"/>
      <c r="J7" s="60"/>
      <c r="K7" s="66">
        <f>SUM(K5:K6)</f>
        <v>0</v>
      </c>
      <c r="L7" s="64"/>
      <c r="M7" s="64"/>
      <c r="N7" s="65">
        <f>SUM(N5:N6)</f>
        <v>0</v>
      </c>
      <c r="P7" s="177"/>
      <c r="Q7" s="180"/>
      <c r="R7" s="180"/>
      <c r="S7" s="181"/>
      <c r="T7" s="181"/>
      <c r="U7" s="177"/>
      <c r="Z7" s="182"/>
      <c r="AA7" s="185"/>
      <c r="AB7" s="186"/>
      <c r="AC7" s="186"/>
      <c r="AD7" s="188"/>
      <c r="AE7" s="186"/>
      <c r="AF7" s="186"/>
      <c r="AG7" s="185"/>
      <c r="AH7" s="182"/>
    </row>
    <row r="8" spans="2:34" x14ac:dyDescent="0.25">
      <c r="B8" s="55" t="s">
        <v>344</v>
      </c>
      <c r="C8" s="67">
        <v>47.75</v>
      </c>
      <c r="D8" s="60"/>
      <c r="E8" s="66">
        <f>(E7*47.75/100)</f>
        <v>203.89250000000001</v>
      </c>
      <c r="F8" s="60">
        <v>46.5</v>
      </c>
      <c r="G8" s="60"/>
      <c r="H8" s="66">
        <f>(H7*46.5/100)</f>
        <v>3883.68</v>
      </c>
      <c r="I8" s="60">
        <v>46.25</v>
      </c>
      <c r="J8" s="60"/>
      <c r="K8" s="66">
        <f>(K7*46.25/100)</f>
        <v>0</v>
      </c>
      <c r="L8" s="65">
        <v>55</v>
      </c>
      <c r="M8" s="64"/>
      <c r="N8" s="66">
        <f>(N7*55/100)</f>
        <v>0</v>
      </c>
      <c r="P8" s="177"/>
      <c r="Q8" s="180"/>
      <c r="R8" s="180"/>
      <c r="S8" s="181"/>
      <c r="T8" s="181"/>
      <c r="U8" s="177"/>
      <c r="V8" s="119"/>
      <c r="Z8" s="182"/>
      <c r="AA8" s="182"/>
      <c r="AB8" s="186"/>
      <c r="AC8" s="186"/>
      <c r="AD8" s="186"/>
      <c r="AE8" s="186"/>
      <c r="AF8" s="186"/>
      <c r="AG8" s="186"/>
      <c r="AH8" s="182"/>
    </row>
    <row r="9" spans="2:34" x14ac:dyDescent="0.25">
      <c r="B9" s="53"/>
      <c r="C9" s="60"/>
      <c r="D9" s="60"/>
      <c r="E9" s="66">
        <f>(E7+E8)</f>
        <v>630.89250000000004</v>
      </c>
      <c r="F9" s="60"/>
      <c r="G9" s="60"/>
      <c r="H9" s="66">
        <f>(H7+H8)</f>
        <v>12235.68</v>
      </c>
      <c r="I9" s="60"/>
      <c r="J9" s="60"/>
      <c r="K9" s="66">
        <f>(K7+K8)</f>
        <v>0</v>
      </c>
      <c r="L9" s="64"/>
      <c r="M9" s="64"/>
      <c r="N9" s="68">
        <f>SUM(N7:N8)</f>
        <v>0</v>
      </c>
      <c r="P9" s="177"/>
      <c r="Q9" s="180"/>
      <c r="R9" s="180"/>
      <c r="S9" s="181"/>
      <c r="T9" s="181"/>
      <c r="U9" s="177"/>
      <c r="Z9" s="182"/>
      <c r="AA9" s="186"/>
      <c r="AB9" s="186"/>
      <c r="AC9" s="186"/>
      <c r="AD9" s="186"/>
      <c r="AE9" s="186"/>
      <c r="AF9" s="186"/>
      <c r="AG9" s="185"/>
      <c r="AH9" s="182"/>
    </row>
    <row r="10" spans="2:34" x14ac:dyDescent="0.25">
      <c r="B10" s="55" t="s">
        <v>345</v>
      </c>
      <c r="C10" s="60">
        <v>18</v>
      </c>
      <c r="D10" s="60"/>
      <c r="E10" s="66">
        <f>(E9*C10/100)</f>
        <v>113.56065000000001</v>
      </c>
      <c r="F10" s="60">
        <v>18</v>
      </c>
      <c r="G10" s="60"/>
      <c r="H10" s="66">
        <f>(H9*F10/100)</f>
        <v>2202.4223999999999</v>
      </c>
      <c r="I10" s="60">
        <v>18</v>
      </c>
      <c r="J10" s="60"/>
      <c r="K10" s="66">
        <f>(K9*I10/100)</f>
        <v>0</v>
      </c>
      <c r="L10" s="65">
        <v>18</v>
      </c>
      <c r="M10" s="64"/>
      <c r="N10" s="66">
        <f>(N9*L10/100)</f>
        <v>0</v>
      </c>
      <c r="P10" s="177"/>
      <c r="Q10" s="180"/>
      <c r="R10" s="180"/>
      <c r="S10" s="181"/>
      <c r="T10" s="181"/>
      <c r="U10" s="177"/>
      <c r="Z10" s="182"/>
      <c r="AA10" s="186"/>
      <c r="AB10" s="186"/>
      <c r="AC10" s="186"/>
      <c r="AD10" s="186"/>
      <c r="AE10" s="186"/>
      <c r="AF10" s="186"/>
      <c r="AG10" s="185"/>
      <c r="AH10" s="182"/>
    </row>
    <row r="11" spans="2:34" x14ac:dyDescent="0.25">
      <c r="B11" s="69" t="s">
        <v>346</v>
      </c>
      <c r="C11" s="70"/>
      <c r="D11" s="70"/>
      <c r="E11" s="71">
        <f>(E9+E10)</f>
        <v>744.45315000000005</v>
      </c>
      <c r="F11" s="69"/>
      <c r="G11" s="69"/>
      <c r="H11" s="71">
        <f>(H9+H10)</f>
        <v>14438.1024</v>
      </c>
      <c r="I11" s="69"/>
      <c r="J11" s="69"/>
      <c r="K11" s="71">
        <v>10388</v>
      </c>
      <c r="L11" s="72"/>
      <c r="M11" s="72"/>
      <c r="N11" s="73">
        <f>SUM(N9:N10)</f>
        <v>0</v>
      </c>
      <c r="P11" s="177"/>
      <c r="Q11" s="180"/>
      <c r="R11" s="180"/>
      <c r="S11" s="181"/>
      <c r="T11" s="181"/>
      <c r="U11" s="177"/>
      <c r="Z11" s="182"/>
      <c r="AA11" s="186"/>
      <c r="AB11" s="186"/>
      <c r="AC11" s="186"/>
      <c r="AD11" s="188"/>
      <c r="AE11" s="189"/>
      <c r="AF11" s="189"/>
      <c r="AG11" s="185"/>
      <c r="AH11" s="182"/>
    </row>
    <row r="12" spans="2:34" x14ac:dyDescent="0.25">
      <c r="B12" s="55" t="s">
        <v>347</v>
      </c>
      <c r="C12" s="60">
        <v>12</v>
      </c>
      <c r="D12" s="66">
        <v>23</v>
      </c>
      <c r="E12" s="60">
        <v>12</v>
      </c>
      <c r="F12" s="60">
        <v>30</v>
      </c>
      <c r="G12" s="60"/>
      <c r="H12" s="66">
        <v>180</v>
      </c>
      <c r="I12" s="60"/>
      <c r="J12" s="60">
        <v>10</v>
      </c>
      <c r="K12" s="66">
        <v>180</v>
      </c>
      <c r="L12" s="65">
        <v>10</v>
      </c>
      <c r="M12" s="65">
        <v>0</v>
      </c>
      <c r="N12" s="65">
        <v>0</v>
      </c>
      <c r="P12" s="177"/>
      <c r="Q12" s="180"/>
      <c r="R12" s="180"/>
      <c r="S12" s="181"/>
      <c r="T12" s="181"/>
      <c r="U12" s="177"/>
      <c r="Z12" s="182"/>
      <c r="AA12" s="182"/>
      <c r="AB12" s="186"/>
      <c r="AC12" s="186"/>
      <c r="AD12" s="186"/>
      <c r="AE12" s="186"/>
      <c r="AF12" s="186"/>
      <c r="AG12" s="186"/>
      <c r="AH12" s="182"/>
    </row>
    <row r="13" spans="2:34" x14ac:dyDescent="0.25">
      <c r="B13" s="55" t="s">
        <v>348</v>
      </c>
      <c r="C13" s="60"/>
      <c r="D13" s="60"/>
      <c r="E13" s="60">
        <v>30</v>
      </c>
      <c r="F13" s="60"/>
      <c r="G13" s="60"/>
      <c r="H13" s="66">
        <v>1500</v>
      </c>
      <c r="I13" s="60"/>
      <c r="J13" s="60"/>
      <c r="K13" s="66">
        <v>1500</v>
      </c>
      <c r="L13" s="64"/>
      <c r="M13" s="64"/>
      <c r="N13" s="65">
        <v>0</v>
      </c>
      <c r="P13" s="177"/>
      <c r="Q13" s="180"/>
      <c r="R13" s="180"/>
      <c r="S13" s="181"/>
      <c r="T13" s="181"/>
      <c r="U13" s="177"/>
      <c r="Z13" s="182"/>
      <c r="AA13" s="182"/>
      <c r="AB13" s="182"/>
      <c r="AC13" s="182"/>
      <c r="AD13" s="182"/>
      <c r="AE13" s="182"/>
      <c r="AF13" s="182"/>
      <c r="AG13" s="182"/>
      <c r="AH13" s="182"/>
    </row>
    <row r="14" spans="2:34" x14ac:dyDescent="0.25">
      <c r="B14" s="74"/>
      <c r="C14" s="70"/>
      <c r="D14" s="70"/>
      <c r="E14" s="71">
        <f>SUM(E11:E13)</f>
        <v>786.45315000000005</v>
      </c>
      <c r="F14" s="69"/>
      <c r="G14" s="69"/>
      <c r="H14" s="71">
        <f>SUM(H11:H13)</f>
        <v>16118.1024</v>
      </c>
      <c r="I14" s="69"/>
      <c r="J14" s="69"/>
      <c r="K14" s="71">
        <f>SUM(K11:K13)</f>
        <v>12068</v>
      </c>
      <c r="L14" s="72"/>
      <c r="M14" s="72"/>
      <c r="N14" s="73">
        <f>SUM(N11:N13)</f>
        <v>0</v>
      </c>
      <c r="P14" s="177"/>
      <c r="Q14" s="180"/>
      <c r="R14" s="180"/>
      <c r="S14" s="181"/>
      <c r="T14" s="181"/>
      <c r="U14" s="177"/>
      <c r="Z14" s="182"/>
      <c r="AA14" s="182"/>
      <c r="AB14" s="182"/>
      <c r="AC14" s="182"/>
      <c r="AD14" s="182"/>
      <c r="AE14" s="182"/>
      <c r="AF14" s="182"/>
      <c r="AG14" s="182"/>
      <c r="AH14" s="182"/>
    </row>
    <row r="15" spans="2:34" x14ac:dyDescent="0.25">
      <c r="P15" s="177"/>
      <c r="Q15" s="180"/>
      <c r="R15" s="180"/>
      <c r="S15" s="181"/>
      <c r="T15" s="181"/>
      <c r="U15" s="177"/>
    </row>
    <row r="16" spans="2:34" x14ac:dyDescent="0.25">
      <c r="P16" s="177"/>
      <c r="Q16" s="177"/>
      <c r="R16" s="177"/>
      <c r="S16" s="177"/>
      <c r="T16" s="177"/>
      <c r="U16" s="177"/>
    </row>
    <row r="17" spans="2:29" ht="15.75" thickBot="1" x14ac:dyDescent="0.3">
      <c r="H17" t="s">
        <v>349</v>
      </c>
    </row>
    <row r="18" spans="2:29" ht="15.75" thickBot="1" x14ac:dyDescent="0.3">
      <c r="C18" s="162" t="s">
        <v>384</v>
      </c>
      <c r="D18" s="163"/>
      <c r="E18" s="75" t="s">
        <v>350</v>
      </c>
      <c r="F18" s="152" t="s">
        <v>351</v>
      </c>
      <c r="G18" s="147"/>
      <c r="I18" s="104"/>
      <c r="J18" s="115" t="s">
        <v>367</v>
      </c>
      <c r="K18" s="115"/>
      <c r="L18" s="116"/>
      <c r="M18" s="115"/>
      <c r="N18" s="107"/>
      <c r="O18" s="107"/>
      <c r="P18" s="107"/>
      <c r="Q18" s="107"/>
    </row>
    <row r="19" spans="2:29" ht="15.75" thickBot="1" x14ac:dyDescent="0.3">
      <c r="C19" s="76" t="s">
        <v>338</v>
      </c>
      <c r="D19" s="77"/>
      <c r="E19" s="78">
        <f>(E14*1)</f>
        <v>786.45315000000005</v>
      </c>
      <c r="F19" s="164" t="s">
        <v>383</v>
      </c>
      <c r="G19" s="165"/>
      <c r="H19" s="79">
        <v>0.48</v>
      </c>
      <c r="J19" t="s">
        <v>355</v>
      </c>
      <c r="L19" s="98" t="s">
        <v>356</v>
      </c>
      <c r="M19" t="s">
        <v>357</v>
      </c>
      <c r="N19" t="s">
        <v>358</v>
      </c>
      <c r="P19" s="89"/>
      <c r="Q19" s="89"/>
    </row>
    <row r="20" spans="2:29" ht="15.75" customHeight="1" thickBot="1" x14ac:dyDescent="0.3">
      <c r="C20" s="76" t="s">
        <v>339</v>
      </c>
      <c r="D20" s="77"/>
      <c r="E20" s="78">
        <f>(H14*1)</f>
        <v>16118.1024</v>
      </c>
      <c r="F20" s="164" t="s">
        <v>383</v>
      </c>
      <c r="G20" s="165"/>
      <c r="H20" s="124"/>
      <c r="J20" s="107" t="s">
        <v>360</v>
      </c>
      <c r="K20" s="107"/>
      <c r="L20" s="114" t="s">
        <v>359</v>
      </c>
      <c r="M20" s="107">
        <v>132</v>
      </c>
      <c r="N20" s="107">
        <v>85</v>
      </c>
      <c r="P20" s="148" t="s">
        <v>372</v>
      </c>
      <c r="Q20" s="148"/>
      <c r="R20" s="148"/>
      <c r="S20" s="148"/>
      <c r="T20" s="148"/>
      <c r="U20" s="148"/>
      <c r="V20" s="148"/>
      <c r="W20" s="148"/>
    </row>
    <row r="21" spans="2:29" ht="15.75" thickBot="1" x14ac:dyDescent="0.3">
      <c r="C21" s="81" t="s">
        <v>352</v>
      </c>
      <c r="D21" s="82"/>
      <c r="E21" s="83">
        <f>(K14*1)</f>
        <v>12068</v>
      </c>
      <c r="F21" s="166" t="s">
        <v>383</v>
      </c>
      <c r="G21" s="167"/>
      <c r="J21" s="107" t="s">
        <v>361</v>
      </c>
      <c r="K21" s="107"/>
      <c r="L21" s="107" t="s">
        <v>362</v>
      </c>
      <c r="M21" s="107">
        <v>94</v>
      </c>
      <c r="N21" s="107">
        <v>85</v>
      </c>
      <c r="P21" s="120"/>
      <c r="R21" s="89"/>
    </row>
    <row r="22" spans="2:29" ht="15.75" customHeight="1" thickBot="1" x14ac:dyDescent="0.3">
      <c r="C22" s="84" t="s">
        <v>353</v>
      </c>
      <c r="D22" s="32"/>
      <c r="E22" s="85">
        <v>9940</v>
      </c>
      <c r="F22" s="158" t="s">
        <v>371</v>
      </c>
      <c r="G22" s="159"/>
      <c r="J22" s="107" t="s">
        <v>363</v>
      </c>
      <c r="K22" s="107"/>
      <c r="L22" s="107" t="s">
        <v>364</v>
      </c>
      <c r="M22" s="107">
        <v>0</v>
      </c>
      <c r="N22" s="107">
        <v>0</v>
      </c>
      <c r="P22" s="149" t="s">
        <v>373</v>
      </c>
      <c r="Q22" s="149"/>
      <c r="R22" s="149"/>
      <c r="S22" s="149"/>
      <c r="T22" s="149"/>
      <c r="U22" s="149"/>
      <c r="V22" s="149"/>
      <c r="W22" s="149"/>
      <c r="X22" s="107" t="s">
        <v>379</v>
      </c>
    </row>
    <row r="23" spans="2:29" ht="16.5" customHeight="1" thickBot="1" x14ac:dyDescent="0.3">
      <c r="C23" s="86" t="s">
        <v>341</v>
      </c>
      <c r="D23" s="77"/>
      <c r="E23" s="78">
        <v>0</v>
      </c>
      <c r="F23" s="160" t="s">
        <v>370</v>
      </c>
      <c r="G23" s="161"/>
      <c r="J23" s="107" t="s">
        <v>366</v>
      </c>
      <c r="K23" s="107"/>
      <c r="L23" s="107" t="s">
        <v>365</v>
      </c>
      <c r="M23" s="107">
        <v>94</v>
      </c>
      <c r="N23" s="107">
        <v>85</v>
      </c>
      <c r="P23" s="150" t="s">
        <v>374</v>
      </c>
      <c r="Q23" s="150"/>
      <c r="R23" s="150"/>
      <c r="S23" s="150"/>
      <c r="T23" s="150"/>
      <c r="U23" s="150"/>
      <c r="V23" s="150"/>
      <c r="W23" s="150"/>
      <c r="X23" s="107" t="s">
        <v>380</v>
      </c>
    </row>
    <row r="24" spans="2:29" x14ac:dyDescent="0.25">
      <c r="C24" s="113" t="s">
        <v>381</v>
      </c>
      <c r="G24" s="52"/>
      <c r="K24" s="80"/>
      <c r="P24" s="120"/>
      <c r="R24" s="89"/>
    </row>
    <row r="25" spans="2:29" ht="15" customHeight="1" x14ac:dyDescent="0.25">
      <c r="C25" s="87" t="s">
        <v>354</v>
      </c>
      <c r="G25" s="52"/>
      <c r="J25" s="115" t="s">
        <v>368</v>
      </c>
      <c r="K25" s="117"/>
      <c r="L25" s="117"/>
      <c r="M25" s="117"/>
      <c r="N25" s="117"/>
      <c r="P25" s="151" t="s">
        <v>375</v>
      </c>
      <c r="Q25" s="151"/>
      <c r="R25" s="151"/>
      <c r="S25" s="151"/>
      <c r="T25" s="151"/>
      <c r="U25" s="151"/>
      <c r="V25" s="151"/>
      <c r="W25" s="151"/>
    </row>
    <row r="26" spans="2:29" ht="16.5" customHeight="1" thickBot="1" x14ac:dyDescent="0.3">
      <c r="C26" s="88" t="s">
        <v>382</v>
      </c>
      <c r="D26" s="31"/>
      <c r="E26" s="31"/>
      <c r="F26" s="31"/>
      <c r="G26" s="32"/>
      <c r="J26" s="107" t="s">
        <v>369</v>
      </c>
      <c r="M26" s="107">
        <v>85</v>
      </c>
      <c r="N26" s="107">
        <v>180</v>
      </c>
      <c r="P26" s="149" t="s">
        <v>376</v>
      </c>
      <c r="Q26" s="149"/>
      <c r="R26" s="149"/>
      <c r="S26" s="149"/>
      <c r="T26" s="149"/>
      <c r="U26" s="149"/>
      <c r="V26" s="149"/>
      <c r="W26" s="149"/>
    </row>
    <row r="27" spans="2:29" ht="15" customHeight="1" x14ac:dyDescent="0.25">
      <c r="P27" s="149" t="s">
        <v>377</v>
      </c>
      <c r="Q27" s="149"/>
      <c r="R27" s="149"/>
      <c r="S27" s="149"/>
      <c r="T27" s="149"/>
      <c r="U27" s="149"/>
      <c r="V27" s="149"/>
      <c r="W27" s="149"/>
    </row>
    <row r="28" spans="2:29" ht="13.5" customHeight="1" x14ac:dyDescent="0.25">
      <c r="P28" s="168" t="s">
        <v>378</v>
      </c>
      <c r="Q28" s="168"/>
      <c r="R28" s="168"/>
      <c r="S28" s="168"/>
      <c r="T28" s="168"/>
      <c r="U28" s="168"/>
      <c r="V28" s="168"/>
      <c r="W28" s="168"/>
    </row>
    <row r="30" spans="2:29" x14ac:dyDescent="0.25">
      <c r="B30" s="169"/>
      <c r="C30" s="169"/>
      <c r="D30" s="169"/>
      <c r="E30" s="169"/>
      <c r="F30" s="169"/>
      <c r="G30" s="169"/>
      <c r="H30" s="169"/>
      <c r="I30" s="169"/>
      <c r="J30" s="169"/>
      <c r="K30" s="169"/>
      <c r="L30" s="177"/>
      <c r="M30" s="177"/>
      <c r="N30" s="177"/>
      <c r="O30" s="177"/>
      <c r="P30" s="177"/>
      <c r="Q30" s="177"/>
      <c r="R30" s="177"/>
      <c r="S30" s="177"/>
      <c r="T30" s="177"/>
      <c r="U30" s="177"/>
      <c r="V30" s="169"/>
      <c r="W30" s="169"/>
      <c r="X30" s="169"/>
      <c r="Y30" s="169"/>
      <c r="Z30" s="169"/>
      <c r="AA30" s="169"/>
      <c r="AB30" s="169"/>
      <c r="AC30" s="169"/>
    </row>
    <row r="31" spans="2:29" x14ac:dyDescent="0.25">
      <c r="B31" s="169"/>
      <c r="C31" s="169"/>
      <c r="D31" s="169"/>
      <c r="E31" s="170"/>
      <c r="F31" s="169"/>
      <c r="G31" s="169"/>
      <c r="H31" s="169"/>
      <c r="I31" s="169"/>
      <c r="J31" s="169"/>
      <c r="K31" s="169"/>
      <c r="L31" s="177"/>
      <c r="M31" s="177"/>
      <c r="N31" s="177"/>
      <c r="O31" s="177"/>
      <c r="P31" s="177"/>
      <c r="Q31" s="177"/>
      <c r="R31" s="177"/>
      <c r="S31" s="177"/>
      <c r="T31" s="177"/>
      <c r="U31" s="177"/>
      <c r="V31" s="169"/>
      <c r="W31" s="169"/>
      <c r="X31" s="169"/>
      <c r="Y31" s="169"/>
      <c r="Z31" s="169"/>
      <c r="AA31" s="169"/>
      <c r="AB31" s="169"/>
      <c r="AC31" s="169"/>
    </row>
    <row r="32" spans="2:29" x14ac:dyDescent="0.25">
      <c r="B32" s="169"/>
      <c r="C32" s="169"/>
      <c r="D32" s="169"/>
      <c r="E32" s="170"/>
      <c r="F32" s="169"/>
      <c r="G32" s="169"/>
      <c r="H32" s="169"/>
      <c r="I32" s="169"/>
      <c r="J32" s="169"/>
      <c r="K32" s="169"/>
      <c r="L32" s="177"/>
      <c r="M32" s="177"/>
      <c r="N32" s="177"/>
      <c r="O32" s="190"/>
      <c r="P32" s="190"/>
      <c r="Q32" s="177"/>
      <c r="R32" s="191"/>
      <c r="S32" s="191"/>
      <c r="T32" s="177"/>
      <c r="U32" s="177"/>
      <c r="V32" s="169"/>
      <c r="W32" s="169"/>
      <c r="X32" s="169"/>
      <c r="Y32" s="169"/>
      <c r="Z32" s="169"/>
      <c r="AA32" s="169"/>
      <c r="AB32" s="169"/>
      <c r="AC32" s="169"/>
    </row>
    <row r="33" spans="2:29" x14ac:dyDescent="0.25">
      <c r="B33" s="171"/>
      <c r="C33" s="171"/>
      <c r="D33" s="171"/>
      <c r="E33" s="169"/>
      <c r="F33" s="172"/>
      <c r="G33" s="173"/>
      <c r="H33" s="169"/>
      <c r="I33" s="169"/>
      <c r="J33" s="169"/>
      <c r="K33" s="169"/>
      <c r="L33" s="177"/>
      <c r="M33" s="177"/>
      <c r="N33" s="192"/>
      <c r="O33" s="193"/>
      <c r="P33" s="193"/>
      <c r="Q33" s="194"/>
      <c r="R33" s="193"/>
      <c r="S33" s="193"/>
      <c r="T33" s="177"/>
      <c r="U33" s="177"/>
      <c r="V33" s="169"/>
      <c r="W33" s="169"/>
      <c r="X33" s="169"/>
      <c r="Y33" s="169"/>
      <c r="Z33" s="169"/>
      <c r="AA33" s="169"/>
      <c r="AB33" s="169"/>
      <c r="AC33" s="169"/>
    </row>
    <row r="34" spans="2:29" x14ac:dyDescent="0.25">
      <c r="B34" s="174"/>
      <c r="C34" s="174"/>
      <c r="D34" s="174"/>
      <c r="E34" s="169"/>
      <c r="F34" s="169"/>
      <c r="G34" s="169"/>
      <c r="H34" s="169"/>
      <c r="I34" s="169"/>
      <c r="J34" s="169"/>
      <c r="K34" s="169"/>
      <c r="L34" s="177"/>
      <c r="M34" s="177"/>
      <c r="N34" s="192"/>
      <c r="O34" s="193"/>
      <c r="P34" s="193"/>
      <c r="Q34" s="194"/>
      <c r="R34" s="193"/>
      <c r="S34" s="193"/>
      <c r="T34" s="177"/>
      <c r="U34" s="177"/>
      <c r="V34" s="169"/>
      <c r="W34" s="169"/>
      <c r="X34" s="169"/>
      <c r="Y34" s="169"/>
      <c r="Z34" s="169"/>
      <c r="AA34" s="169"/>
      <c r="AB34" s="169"/>
      <c r="AC34" s="169"/>
    </row>
    <row r="35" spans="2:29" x14ac:dyDescent="0.25">
      <c r="B35" s="174"/>
      <c r="C35" s="174"/>
      <c r="D35" s="174"/>
      <c r="E35" s="169"/>
      <c r="F35" s="169"/>
      <c r="G35" s="169"/>
      <c r="H35" s="169"/>
      <c r="I35" s="169"/>
      <c r="J35" s="169"/>
      <c r="K35" s="169"/>
      <c r="L35" s="177"/>
      <c r="M35" s="177"/>
      <c r="N35" s="192"/>
      <c r="O35" s="195"/>
      <c r="P35" s="195"/>
      <c r="Q35" s="196"/>
      <c r="R35" s="195"/>
      <c r="S35" s="195"/>
      <c r="T35" s="177"/>
      <c r="U35" s="177"/>
      <c r="V35" s="169"/>
      <c r="W35" s="169"/>
      <c r="X35" s="169"/>
      <c r="Y35" s="169"/>
      <c r="Z35" s="169"/>
      <c r="AA35" s="169"/>
      <c r="AB35" s="169"/>
      <c r="AC35" s="169"/>
    </row>
    <row r="36" spans="2:29" x14ac:dyDescent="0.25">
      <c r="B36" s="174"/>
      <c r="C36" s="174"/>
      <c r="D36" s="174"/>
      <c r="E36" s="175"/>
      <c r="F36" s="169"/>
      <c r="G36" s="169"/>
      <c r="H36" s="169"/>
      <c r="I36" s="169"/>
      <c r="J36" s="169"/>
      <c r="K36" s="169"/>
      <c r="L36" s="177"/>
      <c r="M36" s="177"/>
      <c r="N36" s="177"/>
      <c r="O36" s="197"/>
      <c r="P36" s="197"/>
      <c r="Q36" s="197"/>
      <c r="R36" s="177"/>
      <c r="S36" s="177"/>
      <c r="T36" s="177"/>
      <c r="U36" s="177"/>
      <c r="V36" s="169"/>
      <c r="W36" s="169"/>
      <c r="X36" s="169"/>
      <c r="Y36" s="169"/>
      <c r="Z36" s="169"/>
      <c r="AA36" s="169"/>
      <c r="AB36" s="169"/>
      <c r="AC36" s="169"/>
    </row>
    <row r="37" spans="2:29" x14ac:dyDescent="0.25">
      <c r="B37" s="174"/>
      <c r="C37" s="174"/>
      <c r="D37" s="174"/>
      <c r="E37" s="175"/>
      <c r="F37" s="169"/>
      <c r="G37" s="169"/>
      <c r="H37" s="169"/>
      <c r="I37" s="169"/>
      <c r="J37" s="169"/>
      <c r="K37" s="169"/>
      <c r="L37" s="177"/>
      <c r="M37" s="177"/>
      <c r="N37" s="177"/>
      <c r="O37" s="177"/>
      <c r="P37" s="177"/>
      <c r="Q37" s="177"/>
      <c r="R37" s="177"/>
      <c r="S37" s="177"/>
      <c r="T37" s="177"/>
      <c r="U37" s="177"/>
      <c r="V37" s="169"/>
      <c r="W37" s="169"/>
      <c r="X37" s="169"/>
      <c r="Y37" s="169"/>
      <c r="Z37" s="169"/>
      <c r="AA37" s="169"/>
      <c r="AB37" s="169"/>
      <c r="AC37" s="169"/>
    </row>
    <row r="38" spans="2:29" x14ac:dyDescent="0.25">
      <c r="B38" s="174"/>
      <c r="C38" s="174"/>
      <c r="D38" s="174"/>
      <c r="E38" s="169"/>
      <c r="F38" s="169"/>
      <c r="G38" s="169"/>
      <c r="H38" s="169"/>
      <c r="I38" s="169"/>
      <c r="J38" s="169"/>
      <c r="K38" s="169"/>
      <c r="L38" s="177"/>
      <c r="M38" s="177"/>
      <c r="N38" s="177"/>
      <c r="O38" s="177"/>
      <c r="P38" s="177"/>
      <c r="Q38" s="177"/>
      <c r="R38" s="177"/>
      <c r="S38" s="177"/>
      <c r="T38" s="177"/>
      <c r="U38" s="177"/>
      <c r="V38" s="169"/>
      <c r="W38" s="169"/>
      <c r="X38" s="169"/>
      <c r="Y38" s="169"/>
      <c r="Z38" s="169"/>
      <c r="AA38" s="169"/>
      <c r="AB38" s="169"/>
      <c r="AC38" s="169"/>
    </row>
    <row r="39" spans="2:29" x14ac:dyDescent="0.25">
      <c r="B39" s="174"/>
      <c r="C39" s="174"/>
      <c r="D39" s="174"/>
      <c r="E39" s="169"/>
      <c r="F39" s="169"/>
      <c r="G39" s="169"/>
      <c r="H39" s="169"/>
      <c r="I39" s="169"/>
      <c r="J39" s="169"/>
      <c r="K39" s="169"/>
      <c r="L39" s="177"/>
      <c r="M39" s="177"/>
      <c r="N39" s="177"/>
      <c r="O39" s="177"/>
      <c r="P39" s="177"/>
      <c r="Q39" s="177"/>
      <c r="R39" s="177"/>
      <c r="S39" s="177"/>
      <c r="T39" s="177"/>
      <c r="U39" s="177"/>
      <c r="V39" s="169"/>
      <c r="W39" s="169"/>
      <c r="X39" s="169"/>
      <c r="Y39" s="169"/>
      <c r="Z39" s="169"/>
      <c r="AA39" s="169"/>
      <c r="AB39" s="169"/>
      <c r="AC39" s="169"/>
    </row>
    <row r="40" spans="2:29" x14ac:dyDescent="0.25">
      <c r="B40" s="174"/>
      <c r="C40" s="174"/>
      <c r="D40" s="174"/>
      <c r="E40" s="169"/>
      <c r="F40" s="169"/>
      <c r="G40" s="169"/>
      <c r="H40" s="169"/>
      <c r="I40" s="169"/>
      <c r="J40" s="169"/>
      <c r="K40" s="169"/>
      <c r="L40" s="177"/>
      <c r="M40" s="177"/>
      <c r="N40" s="177"/>
      <c r="O40" s="177"/>
      <c r="P40" s="177"/>
      <c r="Q40" s="177"/>
      <c r="R40" s="177"/>
      <c r="S40" s="177"/>
      <c r="T40" s="177"/>
      <c r="U40" s="177"/>
      <c r="V40" s="169"/>
      <c r="W40" s="169"/>
      <c r="X40" s="169"/>
      <c r="Y40" s="169"/>
      <c r="Z40" s="169"/>
      <c r="AA40" s="169"/>
      <c r="AB40" s="169"/>
      <c r="AC40" s="169"/>
    </row>
    <row r="41" spans="2:29" x14ac:dyDescent="0.25">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row>
    <row r="42" spans="2:29" x14ac:dyDescent="0.25">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c r="AA42" s="169"/>
      <c r="AB42" s="169"/>
      <c r="AC42" s="169"/>
    </row>
    <row r="43" spans="2:29" x14ac:dyDescent="0.25">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c r="AB43" s="169"/>
      <c r="AC43" s="169"/>
    </row>
    <row r="44" spans="2:29" x14ac:dyDescent="0.25">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c r="AA44" s="169"/>
      <c r="AB44" s="169"/>
      <c r="AC44" s="169"/>
    </row>
    <row r="45" spans="2:29" x14ac:dyDescent="0.25">
      <c r="B45" s="177"/>
      <c r="C45" s="177"/>
      <c r="D45" s="177"/>
      <c r="E45" s="177"/>
      <c r="F45" s="177"/>
      <c r="G45" s="177"/>
      <c r="H45" s="177"/>
      <c r="I45" s="177"/>
      <c r="J45" s="177"/>
      <c r="K45" s="177"/>
      <c r="L45" s="177"/>
      <c r="M45" s="169"/>
      <c r="N45" s="169"/>
      <c r="O45" s="169"/>
      <c r="P45" s="169"/>
      <c r="Q45" s="169"/>
      <c r="R45" s="169"/>
      <c r="S45" s="169"/>
      <c r="T45" s="169"/>
      <c r="U45" s="169"/>
      <c r="V45" s="169"/>
      <c r="W45" s="169"/>
      <c r="X45" s="169"/>
      <c r="Y45" s="169"/>
      <c r="Z45" s="169"/>
      <c r="AA45" s="169"/>
      <c r="AB45" s="169"/>
      <c r="AC45" s="169"/>
    </row>
    <row r="46" spans="2:29" x14ac:dyDescent="0.25">
      <c r="B46" s="177"/>
      <c r="C46" s="177"/>
      <c r="D46" s="177"/>
      <c r="E46" s="177"/>
      <c r="F46" s="177"/>
      <c r="G46" s="177"/>
      <c r="H46" s="177"/>
      <c r="I46" s="177"/>
      <c r="J46" s="177"/>
      <c r="K46" s="177"/>
      <c r="L46" s="177"/>
    </row>
    <row r="47" spans="2:29" x14ac:dyDescent="0.25">
      <c r="B47" s="177"/>
      <c r="C47" s="177"/>
      <c r="D47" s="177"/>
      <c r="E47" s="177"/>
      <c r="F47" s="177"/>
      <c r="G47" s="177"/>
      <c r="H47" s="177"/>
      <c r="I47" s="177"/>
      <c r="J47" s="177"/>
      <c r="K47" s="177"/>
      <c r="L47" s="177"/>
    </row>
    <row r="48" spans="2:29" x14ac:dyDescent="0.25">
      <c r="B48" s="177"/>
      <c r="C48" s="177"/>
      <c r="D48" s="177"/>
      <c r="E48" s="177"/>
      <c r="F48" s="177"/>
      <c r="G48" s="177"/>
      <c r="H48" s="177"/>
      <c r="I48" s="179"/>
      <c r="J48" s="177"/>
      <c r="K48" s="177"/>
      <c r="L48" s="177"/>
    </row>
    <row r="49" spans="2:13" x14ac:dyDescent="0.25">
      <c r="B49" s="177"/>
      <c r="C49" s="177"/>
      <c r="D49" s="177"/>
      <c r="E49" s="199"/>
      <c r="F49" s="199"/>
      <c r="G49" s="177"/>
      <c r="H49" s="177"/>
      <c r="I49" s="177"/>
      <c r="J49" s="177"/>
      <c r="K49" s="177"/>
      <c r="L49" s="177"/>
    </row>
    <row r="50" spans="2:13" x14ac:dyDescent="0.25">
      <c r="B50" s="177"/>
      <c r="C50" s="177"/>
      <c r="D50" s="177"/>
      <c r="E50" s="177"/>
      <c r="F50" s="177"/>
      <c r="G50" s="177"/>
      <c r="H50" s="177"/>
      <c r="I50" s="177"/>
      <c r="J50" s="177"/>
      <c r="K50" s="177"/>
      <c r="L50" s="177"/>
    </row>
    <row r="51" spans="2:13" x14ac:dyDescent="0.25">
      <c r="B51" s="177"/>
      <c r="C51" s="179"/>
      <c r="D51" s="179"/>
      <c r="E51" s="179"/>
      <c r="F51" s="179"/>
      <c r="G51" s="179"/>
      <c r="H51" s="179"/>
      <c r="I51" s="177"/>
      <c r="J51" s="177"/>
      <c r="K51" s="177"/>
      <c r="L51" s="177"/>
    </row>
    <row r="52" spans="2:13" x14ac:dyDescent="0.25">
      <c r="B52" s="200"/>
      <c r="C52" s="193"/>
      <c r="D52" s="193"/>
      <c r="E52" s="193"/>
      <c r="F52" s="193"/>
      <c r="G52" s="193"/>
      <c r="H52" s="193"/>
      <c r="I52" s="193"/>
      <c r="J52" s="193"/>
      <c r="K52" s="200"/>
      <c r="L52" s="179"/>
      <c r="M52" s="89"/>
    </row>
    <row r="53" spans="2:13" x14ac:dyDescent="0.25">
      <c r="B53" s="200"/>
      <c r="C53" s="193"/>
      <c r="D53" s="193"/>
      <c r="E53" s="193"/>
      <c r="F53" s="193"/>
      <c r="G53" s="200"/>
      <c r="H53" s="178"/>
      <c r="I53" s="201"/>
      <c r="J53" s="202"/>
      <c r="K53" s="200"/>
      <c r="L53" s="179"/>
      <c r="M53" s="89"/>
    </row>
    <row r="54" spans="2:13" x14ac:dyDescent="0.25">
      <c r="B54" s="200"/>
      <c r="C54" s="203"/>
      <c r="D54" s="203"/>
      <c r="E54" s="204"/>
      <c r="F54" s="204"/>
      <c r="G54" s="205"/>
      <c r="H54" s="206"/>
      <c r="I54" s="199"/>
      <c r="J54" s="206"/>
      <c r="K54" s="200"/>
      <c r="L54" s="179"/>
      <c r="M54" s="123"/>
    </row>
    <row r="55" spans="2:13" x14ac:dyDescent="0.25">
      <c r="B55" s="200"/>
      <c r="C55" s="198"/>
      <c r="D55" s="198"/>
      <c r="E55" s="204"/>
      <c r="F55" s="204"/>
      <c r="G55" s="205"/>
      <c r="H55" s="207"/>
      <c r="I55" s="199"/>
      <c r="J55" s="206"/>
      <c r="K55" s="200"/>
      <c r="L55" s="179"/>
      <c r="M55" s="89"/>
    </row>
    <row r="56" spans="2:13" x14ac:dyDescent="0.25">
      <c r="B56" s="177"/>
      <c r="C56" s="208"/>
      <c r="D56" s="208"/>
      <c r="E56" s="204"/>
      <c r="F56" s="204"/>
      <c r="G56" s="205"/>
      <c r="H56" s="206"/>
      <c r="I56" s="209"/>
      <c r="J56" s="210"/>
      <c r="K56" s="177"/>
      <c r="L56" s="177"/>
    </row>
    <row r="57" spans="2:13" x14ac:dyDescent="0.25">
      <c r="B57" s="177"/>
      <c r="C57" s="211"/>
      <c r="D57" s="211"/>
      <c r="E57" s="204"/>
      <c r="F57" s="204"/>
      <c r="G57" s="205"/>
      <c r="H57" s="206"/>
      <c r="I57" s="209"/>
      <c r="J57" s="210"/>
      <c r="K57" s="177"/>
      <c r="L57" s="177"/>
    </row>
    <row r="58" spans="2:13" x14ac:dyDescent="0.25">
      <c r="B58" s="177"/>
      <c r="C58" s="211"/>
      <c r="D58" s="211"/>
      <c r="E58" s="204"/>
      <c r="F58" s="204"/>
      <c r="G58" s="205"/>
      <c r="H58" s="206"/>
      <c r="I58" s="209"/>
      <c r="J58" s="210"/>
      <c r="K58" s="177"/>
      <c r="L58" s="177"/>
    </row>
    <row r="59" spans="2:13" x14ac:dyDescent="0.25">
      <c r="B59" s="177"/>
      <c r="C59" s="212"/>
      <c r="D59" s="212"/>
      <c r="E59" s="204"/>
      <c r="F59" s="204"/>
      <c r="G59" s="205"/>
      <c r="H59" s="206"/>
      <c r="I59" s="177"/>
      <c r="J59" s="210"/>
      <c r="K59" s="177"/>
      <c r="L59" s="177"/>
    </row>
    <row r="60" spans="2:13" x14ac:dyDescent="0.25">
      <c r="B60" s="177"/>
      <c r="C60" s="177"/>
      <c r="D60" s="213"/>
      <c r="E60" s="177"/>
      <c r="F60" s="214"/>
      <c r="G60" s="177"/>
      <c r="H60" s="215"/>
      <c r="I60" s="216"/>
      <c r="J60" s="217"/>
      <c r="K60" s="177"/>
      <c r="L60" s="177"/>
    </row>
    <row r="61" spans="2:13" x14ac:dyDescent="0.25">
      <c r="B61" s="177"/>
      <c r="C61" s="177"/>
      <c r="D61" s="199"/>
      <c r="E61" s="177"/>
      <c r="F61" s="214"/>
      <c r="G61" s="177"/>
      <c r="H61" s="215"/>
      <c r="I61" s="216"/>
      <c r="J61" s="217"/>
      <c r="K61" s="177"/>
      <c r="L61" s="177"/>
    </row>
    <row r="62" spans="2:13" x14ac:dyDescent="0.25">
      <c r="B62" s="177"/>
      <c r="C62" s="177"/>
      <c r="D62" s="177"/>
      <c r="E62" s="177"/>
      <c r="F62" s="177"/>
      <c r="G62" s="177"/>
      <c r="H62" s="177"/>
      <c r="I62" s="177"/>
      <c r="J62" s="177"/>
      <c r="K62" s="177"/>
      <c r="L62" s="177"/>
    </row>
    <row r="63" spans="2:13" x14ac:dyDescent="0.25">
      <c r="B63" s="177"/>
      <c r="C63" s="177"/>
      <c r="D63" s="177"/>
      <c r="E63" s="177"/>
      <c r="F63" s="177"/>
      <c r="G63" s="177"/>
      <c r="H63" s="177"/>
      <c r="I63" s="177"/>
      <c r="J63" s="177"/>
      <c r="K63" s="177"/>
      <c r="L63" s="177"/>
    </row>
    <row r="64" spans="2:13" x14ac:dyDescent="0.25">
      <c r="C64" s="153"/>
      <c r="D64" s="153"/>
      <c r="E64" s="104"/>
      <c r="F64" s="105"/>
      <c r="G64" s="121"/>
      <c r="H64" s="98"/>
      <c r="I64" s="122"/>
    </row>
    <row r="65" spans="3:10" x14ac:dyDescent="0.25">
      <c r="D65" s="100"/>
      <c r="F65" s="101"/>
      <c r="H65" s="91"/>
    </row>
    <row r="66" spans="3:10" x14ac:dyDescent="0.25">
      <c r="D66" s="100"/>
      <c r="F66" s="101"/>
      <c r="H66" s="91"/>
      <c r="I66" s="106"/>
      <c r="J66" s="118"/>
    </row>
    <row r="67" spans="3:10" x14ac:dyDescent="0.25">
      <c r="D67" s="92"/>
      <c r="F67" s="101"/>
      <c r="H67" s="91"/>
      <c r="I67" s="106"/>
      <c r="J67" s="118"/>
    </row>
    <row r="71" spans="3:10" x14ac:dyDescent="0.25">
      <c r="C71" s="89"/>
      <c r="D71" s="89"/>
      <c r="E71" s="89"/>
      <c r="F71" s="89"/>
      <c r="G71" s="99"/>
      <c r="H71" s="89"/>
      <c r="I71" s="99"/>
      <c r="J71" s="89"/>
    </row>
    <row r="72" spans="3:10" x14ac:dyDescent="0.25">
      <c r="C72" s="103"/>
      <c r="D72" s="102"/>
      <c r="E72" s="157"/>
      <c r="F72" s="157"/>
      <c r="G72" s="99"/>
      <c r="H72" s="90"/>
      <c r="I72" s="112"/>
    </row>
    <row r="73" spans="3:10" x14ac:dyDescent="0.25">
      <c r="C73" s="108"/>
      <c r="D73" s="108"/>
      <c r="E73" s="104"/>
      <c r="F73" s="105"/>
      <c r="G73" s="99"/>
      <c r="H73" s="98"/>
      <c r="I73" s="112"/>
    </row>
    <row r="74" spans="3:10" x14ac:dyDescent="0.25">
      <c r="C74" s="110"/>
      <c r="D74" s="110"/>
      <c r="E74" s="104"/>
      <c r="F74" s="105"/>
      <c r="G74" s="99"/>
      <c r="H74" s="98"/>
      <c r="I74" s="99"/>
    </row>
    <row r="75" spans="3:10" x14ac:dyDescent="0.25">
      <c r="C75" s="111"/>
      <c r="D75" s="111"/>
      <c r="E75" s="104"/>
      <c r="F75" s="105"/>
      <c r="G75" s="99"/>
      <c r="H75" s="98"/>
      <c r="I75" s="99"/>
    </row>
    <row r="76" spans="3:10" x14ac:dyDescent="0.25">
      <c r="C76" s="111"/>
      <c r="D76" s="109"/>
      <c r="E76" s="104"/>
      <c r="F76" s="105"/>
      <c r="G76" s="99"/>
      <c r="H76" s="98"/>
      <c r="I76" s="99"/>
    </row>
    <row r="77" spans="3:10" x14ac:dyDescent="0.25">
      <c r="C77" s="109"/>
      <c r="D77" s="109"/>
      <c r="E77" s="104"/>
      <c r="F77" s="105"/>
      <c r="G77" s="99"/>
      <c r="H77" s="98"/>
      <c r="I77" s="112"/>
    </row>
    <row r="78" spans="3:10" x14ac:dyDescent="0.25">
      <c r="D78" s="100"/>
      <c r="F78" s="101"/>
      <c r="H78" s="91"/>
    </row>
    <row r="79" spans="3:10" x14ac:dyDescent="0.25">
      <c r="D79" s="100"/>
      <c r="F79" s="101"/>
      <c r="H79" s="91"/>
      <c r="I79" s="106"/>
      <c r="J79" s="107"/>
    </row>
    <row r="80" spans="3:10" x14ac:dyDescent="0.25">
      <c r="D80" s="92"/>
      <c r="F80" s="101"/>
      <c r="H80" s="91"/>
      <c r="I80" s="106"/>
      <c r="J80" s="107"/>
    </row>
    <row r="85" spans="15:16" x14ac:dyDescent="0.25">
      <c r="P85" s="91"/>
    </row>
    <row r="86" spans="15:16" x14ac:dyDescent="0.25">
      <c r="O86" s="91"/>
      <c r="P86" s="91"/>
    </row>
    <row r="87" spans="15:16" x14ac:dyDescent="0.25">
      <c r="O87" s="91"/>
      <c r="P87" s="91"/>
    </row>
    <row r="88" spans="15:16" x14ac:dyDescent="0.25">
      <c r="O88" s="91"/>
      <c r="P88" s="91"/>
    </row>
    <row r="89" spans="15:16" x14ac:dyDescent="0.25">
      <c r="P89" s="91"/>
    </row>
    <row r="90" spans="15:16" x14ac:dyDescent="0.25">
      <c r="O90" s="91"/>
      <c r="P90" s="91"/>
    </row>
    <row r="91" spans="15:16" x14ac:dyDescent="0.25">
      <c r="O91" s="91"/>
    </row>
    <row r="100" spans="2:10" x14ac:dyDescent="0.25">
      <c r="C100" s="93"/>
    </row>
    <row r="101" spans="2:10" x14ac:dyDescent="0.25">
      <c r="C101" s="93"/>
    </row>
    <row r="102" spans="2:10" x14ac:dyDescent="0.25">
      <c r="J102" s="94"/>
    </row>
    <row r="103" spans="2:10" x14ac:dyDescent="0.25">
      <c r="J103" s="94"/>
    </row>
    <row r="104" spans="2:10" x14ac:dyDescent="0.25">
      <c r="C104" s="155"/>
      <c r="D104" s="155"/>
      <c r="J104" s="94"/>
    </row>
    <row r="105" spans="2:10" x14ac:dyDescent="0.25">
      <c r="C105" s="155"/>
      <c r="D105" s="155"/>
      <c r="J105" s="94"/>
    </row>
    <row r="106" spans="2:10" x14ac:dyDescent="0.25">
      <c r="C106" s="156"/>
      <c r="D106" s="156"/>
      <c r="J106" s="94"/>
    </row>
    <row r="107" spans="2:10" x14ac:dyDescent="0.25">
      <c r="J107" s="94"/>
    </row>
    <row r="108" spans="2:10" x14ac:dyDescent="0.25">
      <c r="J108" s="94"/>
    </row>
    <row r="109" spans="2:10" x14ac:dyDescent="0.25">
      <c r="J109" s="94"/>
    </row>
    <row r="110" spans="2:10" x14ac:dyDescent="0.25">
      <c r="C110" s="155"/>
      <c r="D110" s="155"/>
      <c r="J110" s="94"/>
    </row>
    <row r="111" spans="2:10" x14ac:dyDescent="0.25">
      <c r="J111" s="94"/>
    </row>
    <row r="112" spans="2:10" x14ac:dyDescent="0.25">
      <c r="B112" s="95"/>
      <c r="C112" s="95"/>
      <c r="D112" s="94"/>
      <c r="E112" s="94"/>
      <c r="F112" s="95"/>
      <c r="G112" s="95"/>
      <c r="H112" s="94"/>
      <c r="I112" s="94"/>
      <c r="J112" s="94"/>
    </row>
    <row r="113" spans="2:10" x14ac:dyDescent="0.25">
      <c r="B113" s="94"/>
      <c r="C113" s="94"/>
      <c r="D113" s="94"/>
      <c r="E113" s="94"/>
      <c r="F113" s="95"/>
      <c r="G113" s="95"/>
      <c r="H113" s="94"/>
      <c r="I113" s="94"/>
      <c r="J113" s="94"/>
    </row>
    <row r="114" spans="2:10" x14ac:dyDescent="0.25">
      <c r="B114" s="94"/>
      <c r="C114" s="94"/>
      <c r="D114" s="94"/>
      <c r="E114" s="94"/>
      <c r="F114" s="94"/>
      <c r="G114" s="96"/>
      <c r="H114" s="94"/>
      <c r="I114" s="94"/>
      <c r="J114" s="94"/>
    </row>
    <row r="115" spans="2:10" x14ac:dyDescent="0.25">
      <c r="G115" s="154"/>
      <c r="H115" s="154"/>
      <c r="I115" s="154"/>
      <c r="J115" s="154"/>
    </row>
    <row r="118" spans="2:10" x14ac:dyDescent="0.25">
      <c r="C118" s="97"/>
    </row>
    <row r="119" spans="2:10" x14ac:dyDescent="0.25">
      <c r="C119" s="97"/>
    </row>
    <row r="120" spans="2:10" x14ac:dyDescent="0.25">
      <c r="C120" s="97"/>
    </row>
    <row r="122" spans="2:10" x14ac:dyDescent="0.25">
      <c r="C122" s="98"/>
    </row>
    <row r="123" spans="2:10" x14ac:dyDescent="0.25">
      <c r="B123" s="97"/>
    </row>
  </sheetData>
  <mergeCells count="53">
    <mergeCell ref="P27:W27"/>
    <mergeCell ref="P28:W28"/>
    <mergeCell ref="R32:S32"/>
    <mergeCell ref="N33:N35"/>
    <mergeCell ref="O33:P33"/>
    <mergeCell ref="R33:S33"/>
    <mergeCell ref="O34:P34"/>
    <mergeCell ref="R34:S34"/>
    <mergeCell ref="O35:P35"/>
    <mergeCell ref="R35:S35"/>
    <mergeCell ref="C18:D18"/>
    <mergeCell ref="F18:G18"/>
    <mergeCell ref="F19:G19"/>
    <mergeCell ref="F20:G20"/>
    <mergeCell ref="F21:G21"/>
    <mergeCell ref="B35:D35"/>
    <mergeCell ref="B36:D36"/>
    <mergeCell ref="F22:G22"/>
    <mergeCell ref="F23:G23"/>
    <mergeCell ref="E55:F55"/>
    <mergeCell ref="B37:D37"/>
    <mergeCell ref="B38:D38"/>
    <mergeCell ref="B39:D39"/>
    <mergeCell ref="B40:D40"/>
    <mergeCell ref="B33:D33"/>
    <mergeCell ref="B34:D34"/>
    <mergeCell ref="E57:F57"/>
    <mergeCell ref="E58:F58"/>
    <mergeCell ref="O36:Q36"/>
    <mergeCell ref="E72:F72"/>
    <mergeCell ref="E59:F59"/>
    <mergeCell ref="C64:D64"/>
    <mergeCell ref="G115:J115"/>
    <mergeCell ref="C104:D104"/>
    <mergeCell ref="C105:D105"/>
    <mergeCell ref="C106:D106"/>
    <mergeCell ref="C110:D110"/>
    <mergeCell ref="C59:D59"/>
    <mergeCell ref="C53:D53"/>
    <mergeCell ref="P20:W20"/>
    <mergeCell ref="P22:W22"/>
    <mergeCell ref="P23:W23"/>
    <mergeCell ref="P25:W25"/>
    <mergeCell ref="P26:W26"/>
    <mergeCell ref="C56:D56"/>
    <mergeCell ref="C57:D57"/>
    <mergeCell ref="C58:D58"/>
    <mergeCell ref="C52:J52"/>
    <mergeCell ref="E53:F53"/>
    <mergeCell ref="C54:D54"/>
    <mergeCell ref="C55:D55"/>
    <mergeCell ref="E54:F54"/>
    <mergeCell ref="E56:F56"/>
  </mergeCells>
  <pageMargins left="0.7" right="0.7" top="0.75" bottom="0.75" header="0.3" footer="0.3"/>
  <ignoredErrors>
    <ignoredError sqref="E9:H10 N8:N10 G8:H8 E8"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DHL EXP2026</vt:lpstr>
      <vt:lpstr>RATE CALCULATER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2026-04-24T04:19:45Z</dcterms:modified>
</cp:coreProperties>
</file>