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4" documentId="8_{910336F2-738E-488F-A2AB-5D4C955A690D}" xr6:coauthVersionLast="47" xr6:coauthVersionMax="47" xr10:uidLastSave="{835C59AF-C3F4-4A85-8783-9AD7A758CDED}"/>
  <bookViews>
    <workbookView xWindow="-120" yWindow="-120" windowWidth="20730" windowHeight="11040" xr2:uid="{00000000-000D-0000-FFFF-FFFF00000000}"/>
  </bookViews>
  <sheets>
    <sheet name="COST_UPS SAVER (Allin)" sheetId="8" r:id="rId1"/>
    <sheet name="COST_UPS SAVER" sheetId="3" state="hidden"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G57" i="8" l="1"/>
  <c r="AF57" i="8"/>
  <c r="AE57" i="8"/>
  <c r="AD57" i="8"/>
  <c r="AC57" i="8"/>
  <c r="AB57" i="8"/>
  <c r="AA57" i="8"/>
  <c r="Z57" i="8"/>
  <c r="Y57" i="8"/>
  <c r="X57" i="8"/>
  <c r="W57" i="8"/>
  <c r="V57" i="8"/>
  <c r="U57" i="8"/>
  <c r="T57" i="8"/>
  <c r="S57" i="8"/>
  <c r="R57" i="8"/>
  <c r="Q57" i="8"/>
  <c r="P57" i="8"/>
  <c r="O57" i="8"/>
  <c r="N57" i="8"/>
  <c r="M57" i="8"/>
  <c r="L57" i="8"/>
  <c r="K57" i="8"/>
  <c r="J57" i="8"/>
  <c r="I57" i="8"/>
  <c r="H57" i="8"/>
  <c r="G57" i="8"/>
  <c r="F57" i="8"/>
  <c r="E57" i="8"/>
  <c r="D57" i="8"/>
  <c r="C57" i="8"/>
  <c r="B57" i="8"/>
  <c r="AG56" i="8"/>
  <c r="AF56" i="8"/>
  <c r="AE56" i="8"/>
  <c r="AD56" i="8"/>
  <c r="AC56" i="8"/>
  <c r="AB56" i="8"/>
  <c r="AA56" i="8"/>
  <c r="Z56" i="8"/>
  <c r="Y56" i="8"/>
  <c r="X56" i="8"/>
  <c r="W56" i="8"/>
  <c r="V56" i="8"/>
  <c r="U56" i="8"/>
  <c r="T56" i="8"/>
  <c r="S56" i="8"/>
  <c r="R56" i="8"/>
  <c r="Q56" i="8"/>
  <c r="P56" i="8"/>
  <c r="O56" i="8"/>
  <c r="N56" i="8"/>
  <c r="M56" i="8"/>
  <c r="L56" i="8"/>
  <c r="K56" i="8"/>
  <c r="J56" i="8"/>
  <c r="I56" i="8"/>
  <c r="H56" i="8"/>
  <c r="G56" i="8"/>
  <c r="F56" i="8"/>
  <c r="E56" i="8"/>
  <c r="D56" i="8"/>
  <c r="C56" i="8"/>
  <c r="B56" i="8"/>
  <c r="AG55" i="8"/>
  <c r="AF55" i="8"/>
  <c r="AE55" i="8"/>
  <c r="AD55" i="8"/>
  <c r="AC55" i="8"/>
  <c r="AB55" i="8"/>
  <c r="AA55" i="8"/>
  <c r="Z55" i="8"/>
  <c r="Y55" i="8"/>
  <c r="X55" i="8"/>
  <c r="W55" i="8"/>
  <c r="V55" i="8"/>
  <c r="U55" i="8"/>
  <c r="T55" i="8"/>
  <c r="S55" i="8"/>
  <c r="R55" i="8"/>
  <c r="Q55" i="8"/>
  <c r="P55" i="8"/>
  <c r="O55" i="8"/>
  <c r="N55" i="8"/>
  <c r="M55" i="8"/>
  <c r="L55" i="8"/>
  <c r="K55" i="8"/>
  <c r="J55" i="8"/>
  <c r="I55" i="8"/>
  <c r="H55" i="8"/>
  <c r="G55" i="8"/>
  <c r="F55" i="8"/>
  <c r="E55" i="8"/>
  <c r="D55" i="8"/>
  <c r="C55" i="8"/>
  <c r="B55" i="8"/>
  <c r="AG54" i="8"/>
  <c r="AF54" i="8"/>
  <c r="AE54" i="8"/>
  <c r="AD54" i="8"/>
  <c r="AC54" i="8"/>
  <c r="AB54" i="8"/>
  <c r="AA54" i="8"/>
  <c r="Z54" i="8"/>
  <c r="Y54" i="8"/>
  <c r="X54" i="8"/>
  <c r="W54" i="8"/>
  <c r="V54" i="8"/>
  <c r="U54" i="8"/>
  <c r="T54" i="8"/>
  <c r="S54" i="8"/>
  <c r="R54" i="8"/>
  <c r="Q54" i="8"/>
  <c r="P54" i="8"/>
  <c r="O54" i="8"/>
  <c r="N54" i="8"/>
  <c r="M54" i="8"/>
  <c r="L54" i="8"/>
  <c r="K54" i="8"/>
  <c r="J54" i="8"/>
  <c r="I54" i="8"/>
  <c r="H54" i="8"/>
  <c r="G54" i="8"/>
  <c r="F54" i="8"/>
  <c r="E54" i="8"/>
  <c r="D54" i="8"/>
  <c r="C54" i="8"/>
  <c r="B54" i="8"/>
  <c r="AG53" i="8"/>
  <c r="AF53" i="8"/>
  <c r="AE53" i="8"/>
  <c r="AD53" i="8"/>
  <c r="AC53" i="8"/>
  <c r="AB53" i="8"/>
  <c r="AA53" i="8"/>
  <c r="Z53" i="8"/>
  <c r="Y53" i="8"/>
  <c r="X53" i="8"/>
  <c r="W53" i="8"/>
  <c r="V53" i="8"/>
  <c r="U53" i="8"/>
  <c r="T53" i="8"/>
  <c r="S53" i="8"/>
  <c r="R53" i="8"/>
  <c r="Q53" i="8"/>
  <c r="P53" i="8"/>
  <c r="O53" i="8"/>
  <c r="N53" i="8"/>
  <c r="M53" i="8"/>
  <c r="L53" i="8"/>
  <c r="K53" i="8"/>
  <c r="J53" i="8"/>
  <c r="I53" i="8"/>
  <c r="H53" i="8"/>
  <c r="G53" i="8"/>
  <c r="F53" i="8"/>
  <c r="E53" i="8"/>
  <c r="D53" i="8"/>
  <c r="C53" i="8"/>
  <c r="B53" i="8"/>
  <c r="AG52" i="8"/>
  <c r="AF52" i="8"/>
  <c r="AE52" i="8"/>
  <c r="AD52" i="8"/>
  <c r="AC52" i="8"/>
  <c r="AB52" i="8"/>
  <c r="AA52" i="8"/>
  <c r="Z52" i="8"/>
  <c r="Y52" i="8"/>
  <c r="X52" i="8"/>
  <c r="W52" i="8"/>
  <c r="V52" i="8"/>
  <c r="U52" i="8"/>
  <c r="T52" i="8"/>
  <c r="S52" i="8"/>
  <c r="R52" i="8"/>
  <c r="Q52" i="8"/>
  <c r="P52" i="8"/>
  <c r="O52" i="8"/>
  <c r="N52" i="8"/>
  <c r="M52" i="8"/>
  <c r="L52" i="8"/>
  <c r="K52" i="8"/>
  <c r="J52" i="8"/>
  <c r="I52" i="8"/>
  <c r="H52" i="8"/>
  <c r="G52" i="8"/>
  <c r="F52" i="8"/>
  <c r="E52" i="8"/>
  <c r="D52" i="8"/>
  <c r="C52" i="8"/>
  <c r="B52" i="8"/>
  <c r="AG51" i="8"/>
  <c r="AF51" i="8"/>
  <c r="AE51" i="8"/>
  <c r="AD51" i="8"/>
  <c r="AC51" i="8"/>
  <c r="AB51" i="8"/>
  <c r="AA51" i="8"/>
  <c r="Z51" i="8"/>
  <c r="Y51" i="8"/>
  <c r="X51" i="8"/>
  <c r="W51" i="8"/>
  <c r="V51" i="8"/>
  <c r="U51" i="8"/>
  <c r="T51" i="8"/>
  <c r="S51" i="8"/>
  <c r="R51" i="8"/>
  <c r="Q51" i="8"/>
  <c r="P51" i="8"/>
  <c r="O51" i="8"/>
  <c r="N51" i="8"/>
  <c r="M51" i="8"/>
  <c r="L51" i="8"/>
  <c r="K51" i="8"/>
  <c r="J51" i="8"/>
  <c r="I51" i="8"/>
  <c r="H51" i="8"/>
  <c r="G51" i="8"/>
  <c r="F51" i="8"/>
  <c r="E51" i="8"/>
  <c r="D51" i="8"/>
  <c r="C51" i="8"/>
  <c r="B51" i="8"/>
  <c r="AG50" i="8"/>
  <c r="AF50" i="8"/>
  <c r="AE50" i="8"/>
  <c r="AD50" i="8"/>
  <c r="AC50" i="8"/>
  <c r="AB50" i="8"/>
  <c r="AA50" i="8"/>
  <c r="Z50" i="8"/>
  <c r="Y50" i="8"/>
  <c r="X50" i="8"/>
  <c r="W50" i="8"/>
  <c r="V50" i="8"/>
  <c r="U50" i="8"/>
  <c r="T50" i="8"/>
  <c r="S50" i="8"/>
  <c r="R50" i="8"/>
  <c r="Q50" i="8"/>
  <c r="P50" i="8"/>
  <c r="O50" i="8"/>
  <c r="N50" i="8"/>
  <c r="M50" i="8"/>
  <c r="L50" i="8"/>
  <c r="K50" i="8"/>
  <c r="J50" i="8"/>
  <c r="I50" i="8"/>
  <c r="H50" i="8"/>
  <c r="G50" i="8"/>
  <c r="F50" i="8"/>
  <c r="E50" i="8"/>
  <c r="D50" i="8"/>
  <c r="C50" i="8"/>
  <c r="B50" i="8"/>
  <c r="AG49" i="8"/>
  <c r="AF49" i="8"/>
  <c r="AE49" i="8"/>
  <c r="AD49" i="8"/>
  <c r="AC49" i="8"/>
  <c r="AB49" i="8"/>
  <c r="AA49" i="8"/>
  <c r="Z49" i="8"/>
  <c r="Y49" i="8"/>
  <c r="X49" i="8"/>
  <c r="W49" i="8"/>
  <c r="V49" i="8"/>
  <c r="U49" i="8"/>
  <c r="T49" i="8"/>
  <c r="S49" i="8"/>
  <c r="R49" i="8"/>
  <c r="Q49" i="8"/>
  <c r="P49" i="8"/>
  <c r="O49" i="8"/>
  <c r="N49" i="8"/>
  <c r="M49" i="8"/>
  <c r="L49" i="8"/>
  <c r="K49" i="8"/>
  <c r="J49" i="8"/>
  <c r="I49" i="8"/>
  <c r="H49" i="8"/>
  <c r="G49" i="8"/>
  <c r="F49" i="8"/>
  <c r="E49" i="8"/>
  <c r="D49" i="8"/>
  <c r="C49" i="8"/>
  <c r="B49" i="8"/>
  <c r="AG48" i="8"/>
  <c r="AF48" i="8"/>
  <c r="AE48" i="8"/>
  <c r="AD48" i="8"/>
  <c r="AC48" i="8"/>
  <c r="AB48" i="8"/>
  <c r="AA48" i="8"/>
  <c r="Z48" i="8"/>
  <c r="Y48" i="8"/>
  <c r="X48" i="8"/>
  <c r="W48" i="8"/>
  <c r="V48" i="8"/>
  <c r="U48" i="8"/>
  <c r="T48" i="8"/>
  <c r="S48" i="8"/>
  <c r="R48" i="8"/>
  <c r="Q48" i="8"/>
  <c r="P48" i="8"/>
  <c r="O48" i="8"/>
  <c r="N48" i="8"/>
  <c r="M48" i="8"/>
  <c r="L48" i="8"/>
  <c r="K48" i="8"/>
  <c r="J48" i="8"/>
  <c r="I48" i="8"/>
  <c r="H48" i="8"/>
  <c r="G48" i="8"/>
  <c r="F48" i="8"/>
  <c r="E48" i="8"/>
  <c r="D48" i="8"/>
  <c r="C48" i="8"/>
  <c r="B48" i="8"/>
  <c r="AG47" i="8"/>
  <c r="AF47" i="8"/>
  <c r="AE47" i="8"/>
  <c r="AD47" i="8"/>
  <c r="AC47" i="8"/>
  <c r="AB47" i="8"/>
  <c r="AA47" i="8"/>
  <c r="Z47" i="8"/>
  <c r="Y47" i="8"/>
  <c r="X47" i="8"/>
  <c r="W47" i="8"/>
  <c r="V47" i="8"/>
  <c r="U47" i="8"/>
  <c r="T47" i="8"/>
  <c r="S47" i="8"/>
  <c r="R47" i="8"/>
  <c r="Q47" i="8"/>
  <c r="P47" i="8"/>
  <c r="O47" i="8"/>
  <c r="N47" i="8"/>
  <c r="M47" i="8"/>
  <c r="L47" i="8"/>
  <c r="K47" i="8"/>
  <c r="J47" i="8"/>
  <c r="I47" i="8"/>
  <c r="H47" i="8"/>
  <c r="G47" i="8"/>
  <c r="F47" i="8"/>
  <c r="E47" i="8"/>
  <c r="D47" i="8"/>
  <c r="C47" i="8"/>
  <c r="B47" i="8"/>
  <c r="AG46" i="8"/>
  <c r="AF46" i="8"/>
  <c r="AE46" i="8"/>
  <c r="AD46" i="8"/>
  <c r="AC46" i="8"/>
  <c r="AB46" i="8"/>
  <c r="AA46" i="8"/>
  <c r="Z46" i="8"/>
  <c r="Y46" i="8"/>
  <c r="X46" i="8"/>
  <c r="W46" i="8"/>
  <c r="V46" i="8"/>
  <c r="U46" i="8"/>
  <c r="T46" i="8"/>
  <c r="S46" i="8"/>
  <c r="R46" i="8"/>
  <c r="Q46" i="8"/>
  <c r="P46" i="8"/>
  <c r="O46" i="8"/>
  <c r="N46" i="8"/>
  <c r="M46" i="8"/>
  <c r="L46" i="8"/>
  <c r="K46" i="8"/>
  <c r="J46" i="8"/>
  <c r="I46" i="8"/>
  <c r="H46" i="8"/>
  <c r="G46" i="8"/>
  <c r="F46" i="8"/>
  <c r="E46" i="8"/>
  <c r="D46" i="8"/>
  <c r="C46" i="8"/>
  <c r="B46" i="8"/>
  <c r="AG45" i="8"/>
  <c r="AF45" i="8"/>
  <c r="AE45" i="8"/>
  <c r="AD45" i="8"/>
  <c r="AC45" i="8"/>
  <c r="AB45" i="8"/>
  <c r="AA45" i="8"/>
  <c r="Z45" i="8"/>
  <c r="Y45" i="8"/>
  <c r="X45" i="8"/>
  <c r="W45" i="8"/>
  <c r="V45" i="8"/>
  <c r="U45" i="8"/>
  <c r="T45" i="8"/>
  <c r="S45" i="8"/>
  <c r="R45" i="8"/>
  <c r="Q45" i="8"/>
  <c r="P45" i="8"/>
  <c r="O45" i="8"/>
  <c r="N45" i="8"/>
  <c r="M45" i="8"/>
  <c r="L45" i="8"/>
  <c r="K45" i="8"/>
  <c r="J45" i="8"/>
  <c r="I45" i="8"/>
  <c r="H45" i="8"/>
  <c r="G45" i="8"/>
  <c r="F45" i="8"/>
  <c r="E45" i="8"/>
  <c r="D45" i="8"/>
  <c r="C45" i="8"/>
  <c r="B45" i="8"/>
  <c r="AG44" i="8"/>
  <c r="AF44" i="8"/>
  <c r="AE44" i="8"/>
  <c r="AD44" i="8"/>
  <c r="AC44" i="8"/>
  <c r="AB44" i="8"/>
  <c r="AA44" i="8"/>
  <c r="Z44" i="8"/>
  <c r="Y44" i="8"/>
  <c r="X44" i="8"/>
  <c r="W44" i="8"/>
  <c r="V44" i="8"/>
  <c r="U44" i="8"/>
  <c r="T44" i="8"/>
  <c r="S44" i="8"/>
  <c r="R44" i="8"/>
  <c r="Q44" i="8"/>
  <c r="P44" i="8"/>
  <c r="O44" i="8"/>
  <c r="N44" i="8"/>
  <c r="M44" i="8"/>
  <c r="L44" i="8"/>
  <c r="K44" i="8"/>
  <c r="J44" i="8"/>
  <c r="I44" i="8"/>
  <c r="H44" i="8"/>
  <c r="G44" i="8"/>
  <c r="F44" i="8"/>
  <c r="E44" i="8"/>
  <c r="D44" i="8"/>
  <c r="C44" i="8"/>
  <c r="B44" i="8"/>
  <c r="AG43" i="8"/>
  <c r="AF43" i="8"/>
  <c r="AE43" i="8"/>
  <c r="AD43" i="8"/>
  <c r="AC43" i="8"/>
  <c r="AB43" i="8"/>
  <c r="AA43" i="8"/>
  <c r="Z43" i="8"/>
  <c r="Y43" i="8"/>
  <c r="X43" i="8"/>
  <c r="W43" i="8"/>
  <c r="V43" i="8"/>
  <c r="U43" i="8"/>
  <c r="T43" i="8"/>
  <c r="S43" i="8"/>
  <c r="R43" i="8"/>
  <c r="Q43" i="8"/>
  <c r="P43" i="8"/>
  <c r="O43" i="8"/>
  <c r="N43" i="8"/>
  <c r="M43" i="8"/>
  <c r="L43" i="8"/>
  <c r="K43" i="8"/>
  <c r="J43" i="8"/>
  <c r="I43" i="8"/>
  <c r="H43" i="8"/>
  <c r="G43" i="8"/>
  <c r="F43" i="8"/>
  <c r="E43" i="8"/>
  <c r="D43" i="8"/>
  <c r="C43" i="8"/>
  <c r="B43" i="8"/>
  <c r="AG42" i="8"/>
  <c r="AF42" i="8"/>
  <c r="AE42" i="8"/>
  <c r="AD42" i="8"/>
  <c r="AC42" i="8"/>
  <c r="AB42" i="8"/>
  <c r="AA42" i="8"/>
  <c r="Z42" i="8"/>
  <c r="Y42" i="8"/>
  <c r="X42" i="8"/>
  <c r="W42" i="8"/>
  <c r="V42" i="8"/>
  <c r="U42" i="8"/>
  <c r="T42" i="8"/>
  <c r="S42" i="8"/>
  <c r="R42" i="8"/>
  <c r="Q42" i="8"/>
  <c r="P42" i="8"/>
  <c r="O42" i="8"/>
  <c r="N42" i="8"/>
  <c r="M42" i="8"/>
  <c r="L42" i="8"/>
  <c r="K42" i="8"/>
  <c r="J42" i="8"/>
  <c r="I42" i="8"/>
  <c r="H42" i="8"/>
  <c r="G42" i="8"/>
  <c r="F42" i="8"/>
  <c r="E42" i="8"/>
  <c r="D42" i="8"/>
  <c r="C42" i="8"/>
  <c r="B42" i="8"/>
  <c r="AG41" i="8"/>
  <c r="AF41" i="8"/>
  <c r="AE41" i="8"/>
  <c r="AD41" i="8"/>
  <c r="AC41" i="8"/>
  <c r="AB41" i="8"/>
  <c r="AA41" i="8"/>
  <c r="Z41" i="8"/>
  <c r="Y41" i="8"/>
  <c r="X41" i="8"/>
  <c r="W41" i="8"/>
  <c r="V41" i="8"/>
  <c r="U41" i="8"/>
  <c r="T41" i="8"/>
  <c r="S41" i="8"/>
  <c r="R41" i="8"/>
  <c r="Q41" i="8"/>
  <c r="P41" i="8"/>
  <c r="O41" i="8"/>
  <c r="N41" i="8"/>
  <c r="M41" i="8"/>
  <c r="L41" i="8"/>
  <c r="K41" i="8"/>
  <c r="J41" i="8"/>
  <c r="I41" i="8"/>
  <c r="H41" i="8"/>
  <c r="G41" i="8"/>
  <c r="F41" i="8"/>
  <c r="E41" i="8"/>
  <c r="D41" i="8"/>
  <c r="C41" i="8"/>
  <c r="B41" i="8"/>
  <c r="AG40" i="8"/>
  <c r="AF40" i="8"/>
  <c r="AE40" i="8"/>
  <c r="AD40" i="8"/>
  <c r="AC40" i="8"/>
  <c r="AB40" i="8"/>
  <c r="AA40" i="8"/>
  <c r="Z40" i="8"/>
  <c r="Y40" i="8"/>
  <c r="X40" i="8"/>
  <c r="W40" i="8"/>
  <c r="V40" i="8"/>
  <c r="U40" i="8"/>
  <c r="T40" i="8"/>
  <c r="S40" i="8"/>
  <c r="R40" i="8"/>
  <c r="Q40" i="8"/>
  <c r="P40" i="8"/>
  <c r="O40" i="8"/>
  <c r="N40" i="8"/>
  <c r="M40" i="8"/>
  <c r="L40" i="8"/>
  <c r="K40" i="8"/>
  <c r="J40" i="8"/>
  <c r="I40" i="8"/>
  <c r="H40" i="8"/>
  <c r="G40" i="8"/>
  <c r="F40" i="8"/>
  <c r="E40" i="8"/>
  <c r="D40" i="8"/>
  <c r="C40" i="8"/>
  <c r="B40" i="8"/>
  <c r="AG39" i="8"/>
  <c r="AF39" i="8"/>
  <c r="AE39" i="8"/>
  <c r="AD39" i="8"/>
  <c r="AC39" i="8"/>
  <c r="AB39" i="8"/>
  <c r="AA39" i="8"/>
  <c r="Z39" i="8"/>
  <c r="Y39" i="8"/>
  <c r="X39" i="8"/>
  <c r="W39" i="8"/>
  <c r="V39" i="8"/>
  <c r="U39" i="8"/>
  <c r="T39" i="8"/>
  <c r="S39" i="8"/>
  <c r="R39" i="8"/>
  <c r="Q39" i="8"/>
  <c r="P39" i="8"/>
  <c r="O39" i="8"/>
  <c r="N39" i="8"/>
  <c r="M39" i="8"/>
  <c r="L39" i="8"/>
  <c r="K39" i="8"/>
  <c r="J39" i="8"/>
  <c r="I39" i="8"/>
  <c r="H39" i="8"/>
  <c r="G39" i="8"/>
  <c r="F39" i="8"/>
  <c r="E39" i="8"/>
  <c r="D39" i="8"/>
  <c r="C39" i="8"/>
  <c r="B39" i="8"/>
  <c r="AG38" i="8"/>
  <c r="AF38" i="8"/>
  <c r="AE38" i="8"/>
  <c r="AD38" i="8"/>
  <c r="AC38" i="8"/>
  <c r="AB38" i="8"/>
  <c r="AA38" i="8"/>
  <c r="Z38" i="8"/>
  <c r="Y38" i="8"/>
  <c r="X38" i="8"/>
  <c r="W38" i="8"/>
  <c r="V38" i="8"/>
  <c r="U38" i="8"/>
  <c r="T38" i="8"/>
  <c r="S38" i="8"/>
  <c r="R38" i="8"/>
  <c r="Q38" i="8"/>
  <c r="P38" i="8"/>
  <c r="O38" i="8"/>
  <c r="N38" i="8"/>
  <c r="M38" i="8"/>
  <c r="L38" i="8"/>
  <c r="K38" i="8"/>
  <c r="J38" i="8"/>
  <c r="I38" i="8"/>
  <c r="H38" i="8"/>
  <c r="G38" i="8"/>
  <c r="F38" i="8"/>
  <c r="E38" i="8"/>
  <c r="D38" i="8"/>
  <c r="C38" i="8"/>
  <c r="B38" i="8"/>
  <c r="AG37" i="8"/>
  <c r="AF37" i="8"/>
  <c r="AE37" i="8"/>
  <c r="AD37" i="8"/>
  <c r="AC37" i="8"/>
  <c r="AB37" i="8"/>
  <c r="AA37" i="8"/>
  <c r="Z37" i="8"/>
  <c r="Y37" i="8"/>
  <c r="X37" i="8"/>
  <c r="W37" i="8"/>
  <c r="V37" i="8"/>
  <c r="U37" i="8"/>
  <c r="T37" i="8"/>
  <c r="S37" i="8"/>
  <c r="R37" i="8"/>
  <c r="Q37" i="8"/>
  <c r="P37" i="8"/>
  <c r="O37" i="8"/>
  <c r="N37" i="8"/>
  <c r="M37" i="8"/>
  <c r="L37" i="8"/>
  <c r="K37" i="8"/>
  <c r="J37" i="8"/>
  <c r="I37" i="8"/>
  <c r="H37" i="8"/>
  <c r="G37" i="8"/>
  <c r="F37" i="8"/>
  <c r="E37" i="8"/>
  <c r="D37" i="8"/>
  <c r="C37" i="8"/>
  <c r="B37" i="8"/>
  <c r="AG36" i="8"/>
  <c r="AF36" i="8"/>
  <c r="AE36" i="8"/>
  <c r="AD36" i="8"/>
  <c r="AC36" i="8"/>
  <c r="AB36" i="8"/>
  <c r="AA36" i="8"/>
  <c r="Z36" i="8"/>
  <c r="Y36" i="8"/>
  <c r="X36" i="8"/>
  <c r="W36" i="8"/>
  <c r="V36" i="8"/>
  <c r="U36" i="8"/>
  <c r="T36" i="8"/>
  <c r="S36" i="8"/>
  <c r="R36" i="8"/>
  <c r="Q36" i="8"/>
  <c r="P36" i="8"/>
  <c r="O36" i="8"/>
  <c r="N36" i="8"/>
  <c r="M36" i="8"/>
  <c r="L36" i="8"/>
  <c r="K36" i="8"/>
  <c r="J36" i="8"/>
  <c r="I36" i="8"/>
  <c r="H36" i="8"/>
  <c r="G36" i="8"/>
  <c r="F36" i="8"/>
  <c r="E36" i="8"/>
  <c r="D36" i="8"/>
  <c r="C36" i="8"/>
  <c r="B36" i="8"/>
  <c r="AG35" i="8"/>
  <c r="AF35" i="8"/>
  <c r="AE35" i="8"/>
  <c r="AD35" i="8"/>
  <c r="AC35" i="8"/>
  <c r="AB35" i="8"/>
  <c r="AA35" i="8"/>
  <c r="Z35" i="8"/>
  <c r="Y35" i="8"/>
  <c r="X35" i="8"/>
  <c r="W35" i="8"/>
  <c r="V35" i="8"/>
  <c r="U35" i="8"/>
  <c r="T35" i="8"/>
  <c r="S35" i="8"/>
  <c r="R35" i="8"/>
  <c r="Q35" i="8"/>
  <c r="P35" i="8"/>
  <c r="O35" i="8"/>
  <c r="N35" i="8"/>
  <c r="M35" i="8"/>
  <c r="L35" i="8"/>
  <c r="K35" i="8"/>
  <c r="J35" i="8"/>
  <c r="I35" i="8"/>
  <c r="H35" i="8"/>
  <c r="G35" i="8"/>
  <c r="F35" i="8"/>
  <c r="E35" i="8"/>
  <c r="D35" i="8"/>
  <c r="C35" i="8"/>
  <c r="B35" i="8"/>
  <c r="AG34" i="8"/>
  <c r="AF34" i="8"/>
  <c r="AE34" i="8"/>
  <c r="AD34" i="8"/>
  <c r="AC34" i="8"/>
  <c r="AB34" i="8"/>
  <c r="AA34" i="8"/>
  <c r="Z34" i="8"/>
  <c r="Y34" i="8"/>
  <c r="X34" i="8"/>
  <c r="W34" i="8"/>
  <c r="V34" i="8"/>
  <c r="U34" i="8"/>
  <c r="T34" i="8"/>
  <c r="S34" i="8"/>
  <c r="R34" i="8"/>
  <c r="Q34" i="8"/>
  <c r="P34" i="8"/>
  <c r="O34" i="8"/>
  <c r="N34" i="8"/>
  <c r="M34" i="8"/>
  <c r="L34" i="8"/>
  <c r="K34" i="8"/>
  <c r="J34" i="8"/>
  <c r="I34" i="8"/>
  <c r="H34" i="8"/>
  <c r="G34" i="8"/>
  <c r="F34" i="8"/>
  <c r="E34" i="8"/>
  <c r="D34" i="8"/>
  <c r="C34" i="8"/>
  <c r="B34" i="8"/>
  <c r="AG33" i="8"/>
  <c r="AF33" i="8"/>
  <c r="AE33" i="8"/>
  <c r="AD33" i="8"/>
  <c r="AC33" i="8"/>
  <c r="AB33" i="8"/>
  <c r="AA33" i="8"/>
  <c r="Z33" i="8"/>
  <c r="Y33" i="8"/>
  <c r="X33" i="8"/>
  <c r="W33" i="8"/>
  <c r="V33" i="8"/>
  <c r="U33" i="8"/>
  <c r="T33" i="8"/>
  <c r="S33" i="8"/>
  <c r="R33" i="8"/>
  <c r="Q33" i="8"/>
  <c r="P33" i="8"/>
  <c r="O33" i="8"/>
  <c r="N33" i="8"/>
  <c r="M33" i="8"/>
  <c r="L33" i="8"/>
  <c r="K33" i="8"/>
  <c r="J33" i="8"/>
  <c r="I33" i="8"/>
  <c r="H33" i="8"/>
  <c r="G33" i="8"/>
  <c r="F33" i="8"/>
  <c r="E33" i="8"/>
  <c r="D33" i="8"/>
  <c r="C33" i="8"/>
  <c r="B33" i="8"/>
  <c r="AG32" i="8"/>
  <c r="AF32" i="8"/>
  <c r="AE32" i="8"/>
  <c r="AD32" i="8"/>
  <c r="AC32" i="8"/>
  <c r="AB32" i="8"/>
  <c r="AA32" i="8"/>
  <c r="Z32" i="8"/>
  <c r="Y32" i="8"/>
  <c r="X32" i="8"/>
  <c r="W32" i="8"/>
  <c r="V32" i="8"/>
  <c r="U32" i="8"/>
  <c r="T32" i="8"/>
  <c r="S32" i="8"/>
  <c r="R32" i="8"/>
  <c r="Q32" i="8"/>
  <c r="P32" i="8"/>
  <c r="O32" i="8"/>
  <c r="N32" i="8"/>
  <c r="M32" i="8"/>
  <c r="L32" i="8"/>
  <c r="K32" i="8"/>
  <c r="J32" i="8"/>
  <c r="I32" i="8"/>
  <c r="H32" i="8"/>
  <c r="G32" i="8"/>
  <c r="F32" i="8"/>
  <c r="E32" i="8"/>
  <c r="D32" i="8"/>
  <c r="C32" i="8"/>
  <c r="B32" i="8"/>
  <c r="AG31" i="8"/>
  <c r="AF31" i="8"/>
  <c r="AE31" i="8"/>
  <c r="AD31" i="8"/>
  <c r="AC31" i="8"/>
  <c r="AB31" i="8"/>
  <c r="AA31" i="8"/>
  <c r="Z31" i="8"/>
  <c r="Y31" i="8"/>
  <c r="X31" i="8"/>
  <c r="W31" i="8"/>
  <c r="V31" i="8"/>
  <c r="U31" i="8"/>
  <c r="T31" i="8"/>
  <c r="S31" i="8"/>
  <c r="R31" i="8"/>
  <c r="Q31" i="8"/>
  <c r="P31" i="8"/>
  <c r="O31" i="8"/>
  <c r="N31" i="8"/>
  <c r="M31" i="8"/>
  <c r="L31" i="8"/>
  <c r="K31" i="8"/>
  <c r="J31" i="8"/>
  <c r="I31" i="8"/>
  <c r="H31" i="8"/>
  <c r="G31" i="8"/>
  <c r="F31" i="8"/>
  <c r="E31" i="8"/>
  <c r="D31" i="8"/>
  <c r="C31" i="8"/>
  <c r="B31" i="8"/>
  <c r="AG30" i="8"/>
  <c r="AF30" i="8"/>
  <c r="AE30" i="8"/>
  <c r="AD30" i="8"/>
  <c r="AC30" i="8"/>
  <c r="AB30" i="8"/>
  <c r="AA30" i="8"/>
  <c r="Z30" i="8"/>
  <c r="Y30" i="8"/>
  <c r="X30" i="8"/>
  <c r="W30" i="8"/>
  <c r="V30" i="8"/>
  <c r="U30" i="8"/>
  <c r="T30" i="8"/>
  <c r="S30" i="8"/>
  <c r="R30" i="8"/>
  <c r="Q30" i="8"/>
  <c r="P30" i="8"/>
  <c r="O30" i="8"/>
  <c r="N30" i="8"/>
  <c r="M30" i="8"/>
  <c r="L30" i="8"/>
  <c r="K30" i="8"/>
  <c r="J30" i="8"/>
  <c r="I30" i="8"/>
  <c r="H30" i="8"/>
  <c r="G30" i="8"/>
  <c r="F30" i="8"/>
  <c r="E30" i="8"/>
  <c r="D30" i="8"/>
  <c r="C30" i="8"/>
  <c r="B30" i="8"/>
  <c r="AG29" i="8"/>
  <c r="AF29" i="8"/>
  <c r="AE29" i="8"/>
  <c r="AD29" i="8"/>
  <c r="AC29" i="8"/>
  <c r="AB29" i="8"/>
  <c r="AA29" i="8"/>
  <c r="Z29" i="8"/>
  <c r="Y29" i="8"/>
  <c r="X29" i="8"/>
  <c r="W29" i="8"/>
  <c r="V29" i="8"/>
  <c r="U29" i="8"/>
  <c r="T29" i="8"/>
  <c r="S29" i="8"/>
  <c r="R29" i="8"/>
  <c r="Q29" i="8"/>
  <c r="P29" i="8"/>
  <c r="O29" i="8"/>
  <c r="N29" i="8"/>
  <c r="M29" i="8"/>
  <c r="L29" i="8"/>
  <c r="K29" i="8"/>
  <c r="J29" i="8"/>
  <c r="I29" i="8"/>
  <c r="H29" i="8"/>
  <c r="G29" i="8"/>
  <c r="F29" i="8"/>
  <c r="E29" i="8"/>
  <c r="D29" i="8"/>
  <c r="C29" i="8"/>
  <c r="B29" i="8"/>
  <c r="AG28" i="8"/>
  <c r="AF28" i="8"/>
  <c r="AE28" i="8"/>
  <c r="AD28" i="8"/>
  <c r="AC28" i="8"/>
  <c r="AB28" i="8"/>
  <c r="AA28" i="8"/>
  <c r="Z28" i="8"/>
  <c r="Y28" i="8"/>
  <c r="X28" i="8"/>
  <c r="W28" i="8"/>
  <c r="V28" i="8"/>
  <c r="U28" i="8"/>
  <c r="T28" i="8"/>
  <c r="S28" i="8"/>
  <c r="R28" i="8"/>
  <c r="Q28" i="8"/>
  <c r="P28" i="8"/>
  <c r="O28" i="8"/>
  <c r="N28" i="8"/>
  <c r="M28" i="8"/>
  <c r="L28" i="8"/>
  <c r="K28" i="8"/>
  <c r="J28" i="8"/>
  <c r="I28" i="8"/>
  <c r="H28" i="8"/>
  <c r="G28" i="8"/>
  <c r="F28" i="8"/>
  <c r="E28" i="8"/>
  <c r="D28" i="8"/>
  <c r="C28" i="8"/>
  <c r="B28" i="8"/>
  <c r="AG27" i="8"/>
  <c r="AF27" i="8"/>
  <c r="AE27" i="8"/>
  <c r="AD27" i="8"/>
  <c r="AC27" i="8"/>
  <c r="AB27" i="8"/>
  <c r="AA27" i="8"/>
  <c r="Z27" i="8"/>
  <c r="Y27" i="8"/>
  <c r="X27" i="8"/>
  <c r="W27" i="8"/>
  <c r="V27" i="8"/>
  <c r="U27" i="8"/>
  <c r="T27" i="8"/>
  <c r="S27" i="8"/>
  <c r="R27" i="8"/>
  <c r="Q27" i="8"/>
  <c r="P27" i="8"/>
  <c r="O27" i="8"/>
  <c r="N27" i="8"/>
  <c r="M27" i="8"/>
  <c r="L27" i="8"/>
  <c r="K27" i="8"/>
  <c r="J27" i="8"/>
  <c r="I27" i="8"/>
  <c r="H27" i="8"/>
  <c r="G27" i="8"/>
  <c r="F27" i="8"/>
  <c r="E27" i="8"/>
  <c r="D27" i="8"/>
  <c r="C27" i="8"/>
  <c r="B27" i="8"/>
  <c r="AG26" i="8"/>
  <c r="AF26" i="8"/>
  <c r="AE26" i="8"/>
  <c r="AD26" i="8"/>
  <c r="AC26" i="8"/>
  <c r="AB26" i="8"/>
  <c r="AA26" i="8"/>
  <c r="Z26" i="8"/>
  <c r="Y26" i="8"/>
  <c r="X26" i="8"/>
  <c r="W26" i="8"/>
  <c r="V26" i="8"/>
  <c r="U26" i="8"/>
  <c r="T26" i="8"/>
  <c r="S26" i="8"/>
  <c r="R26" i="8"/>
  <c r="Q26" i="8"/>
  <c r="P26" i="8"/>
  <c r="O26" i="8"/>
  <c r="N26" i="8"/>
  <c r="M26" i="8"/>
  <c r="L26" i="8"/>
  <c r="K26" i="8"/>
  <c r="J26" i="8"/>
  <c r="I26" i="8"/>
  <c r="H26" i="8"/>
  <c r="G26" i="8"/>
  <c r="F26" i="8"/>
  <c r="E26" i="8"/>
  <c r="D26" i="8"/>
  <c r="C26" i="8"/>
  <c r="B26" i="8"/>
  <c r="AG25" i="8"/>
  <c r="AF25" i="8"/>
  <c r="AE25" i="8"/>
  <c r="AD25" i="8"/>
  <c r="AC25" i="8"/>
  <c r="AB25" i="8"/>
  <c r="AA25" i="8"/>
  <c r="Z25" i="8"/>
  <c r="Y25" i="8"/>
  <c r="X25" i="8"/>
  <c r="W25" i="8"/>
  <c r="V25" i="8"/>
  <c r="U25" i="8"/>
  <c r="T25" i="8"/>
  <c r="S25" i="8"/>
  <c r="R25" i="8"/>
  <c r="Q25" i="8"/>
  <c r="P25" i="8"/>
  <c r="O25" i="8"/>
  <c r="N25" i="8"/>
  <c r="M25" i="8"/>
  <c r="L25" i="8"/>
  <c r="K25" i="8"/>
  <c r="J25" i="8"/>
  <c r="I25" i="8"/>
  <c r="H25" i="8"/>
  <c r="G25" i="8"/>
  <c r="F25" i="8"/>
  <c r="E25" i="8"/>
  <c r="D25" i="8"/>
  <c r="C25" i="8"/>
  <c r="B25" i="8"/>
  <c r="AG24" i="8"/>
  <c r="AF24" i="8"/>
  <c r="AE24" i="8"/>
  <c r="AD24" i="8"/>
  <c r="AC24" i="8"/>
  <c r="AB24" i="8"/>
  <c r="AA24" i="8"/>
  <c r="Z24" i="8"/>
  <c r="Y24" i="8"/>
  <c r="X24" i="8"/>
  <c r="W24" i="8"/>
  <c r="V24" i="8"/>
  <c r="U24" i="8"/>
  <c r="T24" i="8"/>
  <c r="S24" i="8"/>
  <c r="R24" i="8"/>
  <c r="Q24" i="8"/>
  <c r="P24" i="8"/>
  <c r="O24" i="8"/>
  <c r="N24" i="8"/>
  <c r="M24" i="8"/>
  <c r="L24" i="8"/>
  <c r="K24" i="8"/>
  <c r="J24" i="8"/>
  <c r="I24" i="8"/>
  <c r="H24" i="8"/>
  <c r="G24" i="8"/>
  <c r="F24" i="8"/>
  <c r="E24" i="8"/>
  <c r="D24" i="8"/>
  <c r="C24" i="8"/>
  <c r="B24" i="8"/>
  <c r="AG23" i="8"/>
  <c r="AF23" i="8"/>
  <c r="AE23" i="8"/>
  <c r="AD23" i="8"/>
  <c r="AC23" i="8"/>
  <c r="AB23" i="8"/>
  <c r="AA23" i="8"/>
  <c r="Z23" i="8"/>
  <c r="Y23" i="8"/>
  <c r="X23" i="8"/>
  <c r="W23" i="8"/>
  <c r="V23" i="8"/>
  <c r="U23" i="8"/>
  <c r="T23" i="8"/>
  <c r="S23" i="8"/>
  <c r="R23" i="8"/>
  <c r="Q23" i="8"/>
  <c r="P23" i="8"/>
  <c r="O23" i="8"/>
  <c r="N23" i="8"/>
  <c r="M23" i="8"/>
  <c r="L23" i="8"/>
  <c r="K23" i="8"/>
  <c r="J23" i="8"/>
  <c r="I23" i="8"/>
  <c r="H23" i="8"/>
  <c r="G23" i="8"/>
  <c r="F23" i="8"/>
  <c r="E23" i="8"/>
  <c r="D23" i="8"/>
  <c r="C23" i="8"/>
  <c r="B23" i="8"/>
  <c r="AG22" i="8"/>
  <c r="AF22" i="8"/>
  <c r="AE22" i="8"/>
  <c r="AD22" i="8"/>
  <c r="AC22" i="8"/>
  <c r="AB22" i="8"/>
  <c r="AA22" i="8"/>
  <c r="Z22" i="8"/>
  <c r="Y22" i="8"/>
  <c r="X22" i="8"/>
  <c r="W22" i="8"/>
  <c r="V22" i="8"/>
  <c r="U22" i="8"/>
  <c r="T22" i="8"/>
  <c r="S22" i="8"/>
  <c r="R22" i="8"/>
  <c r="Q22" i="8"/>
  <c r="P22" i="8"/>
  <c r="O22" i="8"/>
  <c r="N22" i="8"/>
  <c r="M22" i="8"/>
  <c r="L22" i="8"/>
  <c r="K22" i="8"/>
  <c r="J22" i="8"/>
  <c r="I22" i="8"/>
  <c r="H22" i="8"/>
  <c r="G22" i="8"/>
  <c r="F22" i="8"/>
  <c r="E22" i="8"/>
  <c r="D22" i="8"/>
  <c r="C22" i="8"/>
  <c r="B22" i="8"/>
  <c r="AG21" i="8"/>
  <c r="AF21" i="8"/>
  <c r="AE21" i="8"/>
  <c r="AD21" i="8"/>
  <c r="AC21" i="8"/>
  <c r="AB21" i="8"/>
  <c r="AA21" i="8"/>
  <c r="Z21" i="8"/>
  <c r="Y21" i="8"/>
  <c r="X21" i="8"/>
  <c r="W21" i="8"/>
  <c r="V21" i="8"/>
  <c r="U21" i="8"/>
  <c r="T21" i="8"/>
  <c r="S21" i="8"/>
  <c r="R21" i="8"/>
  <c r="Q21" i="8"/>
  <c r="P21" i="8"/>
  <c r="O21" i="8"/>
  <c r="N21" i="8"/>
  <c r="M21" i="8"/>
  <c r="L21" i="8"/>
  <c r="K21" i="8"/>
  <c r="J21" i="8"/>
  <c r="I21" i="8"/>
  <c r="H21" i="8"/>
  <c r="G21" i="8"/>
  <c r="F21" i="8"/>
  <c r="E21" i="8"/>
  <c r="D21" i="8"/>
  <c r="C21" i="8"/>
  <c r="B21" i="8"/>
  <c r="AG20" i="8"/>
  <c r="AF20" i="8"/>
  <c r="AE20" i="8"/>
  <c r="AD20" i="8"/>
  <c r="AC20" i="8"/>
  <c r="AB20" i="8"/>
  <c r="AA20" i="8"/>
  <c r="Z20" i="8"/>
  <c r="Y20" i="8"/>
  <c r="X20" i="8"/>
  <c r="W20" i="8"/>
  <c r="V20" i="8"/>
  <c r="U20" i="8"/>
  <c r="T20" i="8"/>
  <c r="S20" i="8"/>
  <c r="R20" i="8"/>
  <c r="Q20" i="8"/>
  <c r="P20" i="8"/>
  <c r="O20" i="8"/>
  <c r="N20" i="8"/>
  <c r="M20" i="8"/>
  <c r="L20" i="8"/>
  <c r="K20" i="8"/>
  <c r="J20" i="8"/>
  <c r="I20" i="8"/>
  <c r="H20" i="8"/>
  <c r="G20" i="8"/>
  <c r="F20" i="8"/>
  <c r="E20" i="8"/>
  <c r="D20" i="8"/>
  <c r="C20" i="8"/>
  <c r="B20" i="8"/>
  <c r="AG19" i="8"/>
  <c r="AF19" i="8"/>
  <c r="AE19" i="8"/>
  <c r="AD19" i="8"/>
  <c r="AC19" i="8"/>
  <c r="AB19" i="8"/>
  <c r="AA19" i="8"/>
  <c r="Z19" i="8"/>
  <c r="Y19" i="8"/>
  <c r="X19" i="8"/>
  <c r="W19" i="8"/>
  <c r="V19" i="8"/>
  <c r="U19" i="8"/>
  <c r="T19" i="8"/>
  <c r="S19" i="8"/>
  <c r="R19" i="8"/>
  <c r="Q19" i="8"/>
  <c r="P19" i="8"/>
  <c r="O19" i="8"/>
  <c r="N19" i="8"/>
  <c r="M19" i="8"/>
  <c r="L19" i="8"/>
  <c r="K19" i="8"/>
  <c r="J19" i="8"/>
  <c r="I19" i="8"/>
  <c r="H19" i="8"/>
  <c r="G19" i="8"/>
  <c r="F19" i="8"/>
  <c r="E19" i="8"/>
  <c r="D19" i="8"/>
  <c r="C19" i="8"/>
  <c r="B19" i="8"/>
  <c r="AG18" i="8"/>
  <c r="AF18" i="8"/>
  <c r="AE18" i="8"/>
  <c r="AD18" i="8"/>
  <c r="AC18" i="8"/>
  <c r="AB18" i="8"/>
  <c r="AA18" i="8"/>
  <c r="Z18" i="8"/>
  <c r="Y18" i="8"/>
  <c r="X18" i="8"/>
  <c r="W18" i="8"/>
  <c r="V18" i="8"/>
  <c r="U18" i="8"/>
  <c r="T18" i="8"/>
  <c r="S18" i="8"/>
  <c r="R18" i="8"/>
  <c r="Q18" i="8"/>
  <c r="P18" i="8"/>
  <c r="O18" i="8"/>
  <c r="N18" i="8"/>
  <c r="M18" i="8"/>
  <c r="L18" i="8"/>
  <c r="K18" i="8"/>
  <c r="J18" i="8"/>
  <c r="I18" i="8"/>
  <c r="H18" i="8"/>
  <c r="G18" i="8"/>
  <c r="F18" i="8"/>
  <c r="E18" i="8"/>
  <c r="D18" i="8"/>
  <c r="C18" i="8"/>
  <c r="B18" i="8"/>
  <c r="AG17" i="8"/>
  <c r="AF17" i="8"/>
  <c r="AE17" i="8"/>
  <c r="AD17" i="8"/>
  <c r="AC17" i="8"/>
  <c r="AB17" i="8"/>
  <c r="AA17" i="8"/>
  <c r="Z17" i="8"/>
  <c r="Y17" i="8"/>
  <c r="X17" i="8"/>
  <c r="W17" i="8"/>
  <c r="V17" i="8"/>
  <c r="U17" i="8"/>
  <c r="T17" i="8"/>
  <c r="S17" i="8"/>
  <c r="R17" i="8"/>
  <c r="Q17" i="8"/>
  <c r="P17" i="8"/>
  <c r="O17" i="8"/>
  <c r="N17" i="8"/>
  <c r="M17" i="8"/>
  <c r="L17" i="8"/>
  <c r="K17" i="8"/>
  <c r="J17" i="8"/>
  <c r="I17" i="8"/>
  <c r="H17" i="8"/>
  <c r="G17" i="8"/>
  <c r="F17" i="8"/>
  <c r="E17" i="8"/>
  <c r="D17" i="8"/>
  <c r="C17" i="8"/>
  <c r="B17" i="8"/>
  <c r="AG16" i="8"/>
  <c r="AF16" i="8"/>
  <c r="AE16" i="8"/>
  <c r="AD16" i="8"/>
  <c r="AC16" i="8"/>
  <c r="AB16" i="8"/>
  <c r="AA16" i="8"/>
  <c r="Z16" i="8"/>
  <c r="Y16" i="8"/>
  <c r="X16" i="8"/>
  <c r="W16" i="8"/>
  <c r="V16" i="8"/>
  <c r="U16" i="8"/>
  <c r="T16" i="8"/>
  <c r="S16" i="8"/>
  <c r="R16" i="8"/>
  <c r="Q16" i="8"/>
  <c r="P16" i="8"/>
  <c r="O16" i="8"/>
  <c r="N16" i="8"/>
  <c r="M16" i="8"/>
  <c r="L16" i="8"/>
  <c r="K16" i="8"/>
  <c r="J16" i="8"/>
  <c r="I16" i="8"/>
  <c r="H16" i="8"/>
  <c r="G16" i="8"/>
  <c r="F16" i="8"/>
  <c r="E16" i="8"/>
  <c r="D16" i="8"/>
  <c r="C16" i="8"/>
  <c r="B16" i="8"/>
  <c r="AG15" i="8"/>
  <c r="AF15" i="8"/>
  <c r="AE15" i="8"/>
  <c r="AD15" i="8"/>
  <c r="AC15" i="8"/>
  <c r="AB15" i="8"/>
  <c r="AA15" i="8"/>
  <c r="Z15" i="8"/>
  <c r="Y15" i="8"/>
  <c r="X15" i="8"/>
  <c r="W15" i="8"/>
  <c r="V15" i="8"/>
  <c r="U15" i="8"/>
  <c r="T15" i="8"/>
  <c r="S15" i="8"/>
  <c r="R15" i="8"/>
  <c r="Q15" i="8"/>
  <c r="P15" i="8"/>
  <c r="O15" i="8"/>
  <c r="N15" i="8"/>
  <c r="M15" i="8"/>
  <c r="L15" i="8"/>
  <c r="K15" i="8"/>
  <c r="J15" i="8"/>
  <c r="I15" i="8"/>
  <c r="H15" i="8"/>
  <c r="G15" i="8"/>
  <c r="F15" i="8"/>
  <c r="E15" i="8"/>
  <c r="D15" i="8"/>
  <c r="C15" i="8"/>
  <c r="B15" i="8"/>
  <c r="AG14" i="8"/>
  <c r="AF14" i="8"/>
  <c r="AE14" i="8"/>
  <c r="AD14" i="8"/>
  <c r="AC14" i="8"/>
  <c r="AB14" i="8"/>
  <c r="AA14" i="8"/>
  <c r="Z14" i="8"/>
  <c r="Y14" i="8"/>
  <c r="X14" i="8"/>
  <c r="W14" i="8"/>
  <c r="V14" i="8"/>
  <c r="U14" i="8"/>
  <c r="T14" i="8"/>
  <c r="S14" i="8"/>
  <c r="R14" i="8"/>
  <c r="Q14" i="8"/>
  <c r="P14" i="8"/>
  <c r="O14" i="8"/>
  <c r="N14" i="8"/>
  <c r="M14" i="8"/>
  <c r="L14" i="8"/>
  <c r="K14" i="8"/>
  <c r="J14" i="8"/>
  <c r="I14" i="8"/>
  <c r="H14" i="8"/>
  <c r="G14" i="8"/>
  <c r="F14" i="8"/>
  <c r="E14" i="8"/>
  <c r="D14" i="8"/>
  <c r="C14" i="8"/>
  <c r="B14" i="8"/>
  <c r="AG13" i="8"/>
  <c r="AF13" i="8"/>
  <c r="AE13" i="8"/>
  <c r="AD13" i="8"/>
  <c r="AC13" i="8"/>
  <c r="AB13" i="8"/>
  <c r="AA13" i="8"/>
  <c r="Z13" i="8"/>
  <c r="Y13" i="8"/>
  <c r="X13" i="8"/>
  <c r="W13" i="8"/>
  <c r="V13" i="8"/>
  <c r="U13" i="8"/>
  <c r="T13" i="8"/>
  <c r="S13" i="8"/>
  <c r="R13" i="8"/>
  <c r="Q13" i="8"/>
  <c r="P13" i="8"/>
  <c r="O13" i="8"/>
  <c r="N13" i="8"/>
  <c r="M13" i="8"/>
  <c r="L13" i="8"/>
  <c r="K13" i="8"/>
  <c r="J13" i="8"/>
  <c r="I13" i="8"/>
  <c r="H13" i="8"/>
  <c r="G13" i="8"/>
  <c r="F13" i="8"/>
  <c r="E13" i="8"/>
  <c r="D13" i="8"/>
  <c r="C13" i="8"/>
  <c r="B13" i="8"/>
  <c r="AG12" i="8"/>
  <c r="AF12" i="8"/>
  <c r="AE12" i="8"/>
  <c r="AD12" i="8"/>
  <c r="AC12" i="8"/>
  <c r="AB12" i="8"/>
  <c r="AA12" i="8"/>
  <c r="Z12" i="8"/>
  <c r="Y12" i="8"/>
  <c r="X12" i="8"/>
  <c r="W12" i="8"/>
  <c r="V12" i="8"/>
  <c r="U12" i="8"/>
  <c r="T12" i="8"/>
  <c r="S12" i="8"/>
  <c r="R12" i="8"/>
  <c r="Q12" i="8"/>
  <c r="P12" i="8"/>
  <c r="O12" i="8"/>
  <c r="N12" i="8"/>
  <c r="M12" i="8"/>
  <c r="L12" i="8"/>
  <c r="K12" i="8"/>
  <c r="J12" i="8"/>
  <c r="I12" i="8"/>
  <c r="H12" i="8"/>
  <c r="G12" i="8"/>
  <c r="F12" i="8"/>
  <c r="E12" i="8"/>
  <c r="D12" i="8"/>
  <c r="C12" i="8"/>
  <c r="B12" i="8"/>
  <c r="AG11" i="8"/>
  <c r="AF11" i="8"/>
  <c r="AE11" i="8"/>
  <c r="AD11" i="8"/>
  <c r="AC11" i="8"/>
  <c r="AB11" i="8"/>
  <c r="AA11" i="8"/>
  <c r="Z11" i="8"/>
  <c r="Y11" i="8"/>
  <c r="X11" i="8"/>
  <c r="W11" i="8"/>
  <c r="V11" i="8"/>
  <c r="U11" i="8"/>
  <c r="T11" i="8"/>
  <c r="S11" i="8"/>
  <c r="R11" i="8"/>
  <c r="Q11" i="8"/>
  <c r="P11" i="8"/>
  <c r="O11" i="8"/>
  <c r="N11" i="8"/>
  <c r="M11" i="8"/>
  <c r="L11" i="8"/>
  <c r="K11" i="8"/>
  <c r="J11" i="8"/>
  <c r="I11" i="8"/>
  <c r="H11" i="8"/>
  <c r="G11" i="8"/>
  <c r="F11" i="8"/>
  <c r="E11" i="8"/>
  <c r="D11" i="8"/>
  <c r="C11" i="8"/>
  <c r="B11" i="8"/>
  <c r="AG10" i="8"/>
  <c r="AF10" i="8"/>
  <c r="AE10" i="8"/>
  <c r="AD10" i="8"/>
  <c r="AC10" i="8"/>
  <c r="AB10" i="8"/>
  <c r="AA10" i="8"/>
  <c r="Z10" i="8"/>
  <c r="Y10" i="8"/>
  <c r="X10" i="8"/>
  <c r="W10" i="8"/>
  <c r="V10" i="8"/>
  <c r="U10" i="8"/>
  <c r="T10" i="8"/>
  <c r="S10" i="8"/>
  <c r="R10" i="8"/>
  <c r="Q10" i="8"/>
  <c r="P10" i="8"/>
  <c r="O10" i="8"/>
  <c r="N10" i="8"/>
  <c r="M10" i="8"/>
  <c r="L10" i="8"/>
  <c r="K10" i="8"/>
  <c r="J10" i="8"/>
  <c r="I10" i="8"/>
  <c r="H10" i="8"/>
  <c r="G10" i="8"/>
  <c r="F10" i="8"/>
  <c r="E10" i="8"/>
  <c r="D10" i="8"/>
  <c r="C10" i="8"/>
  <c r="B10" i="8"/>
  <c r="AG9" i="8"/>
  <c r="AF9" i="8"/>
  <c r="AE9" i="8"/>
  <c r="AD9" i="8"/>
  <c r="AC9" i="8"/>
  <c r="AB9" i="8"/>
  <c r="AA9" i="8"/>
  <c r="Z9" i="8"/>
  <c r="Y9" i="8"/>
  <c r="X9" i="8"/>
  <c r="W9" i="8"/>
  <c r="V9" i="8"/>
  <c r="U9" i="8"/>
  <c r="T9" i="8"/>
  <c r="S9" i="8"/>
  <c r="R9" i="8"/>
  <c r="Q9" i="8"/>
  <c r="P9" i="8"/>
  <c r="O9" i="8"/>
  <c r="N9" i="8"/>
  <c r="M9" i="8"/>
  <c r="L9" i="8"/>
  <c r="K9" i="8"/>
  <c r="J9" i="8"/>
  <c r="I9" i="8"/>
  <c r="H9" i="8"/>
  <c r="G9" i="8"/>
  <c r="F9" i="8"/>
  <c r="E9" i="8"/>
  <c r="D9" i="8"/>
  <c r="C9" i="8"/>
  <c r="B9" i="8"/>
</calcChain>
</file>

<file path=xl/sharedStrings.xml><?xml version="1.0" encoding="utf-8"?>
<sst xmlns="http://schemas.openxmlformats.org/spreadsheetml/2006/main" count="256" uniqueCount="118">
  <si>
    <t xml:space="preserve">US INBOUND SURCHARGE FOR  USA &amp; puerto rico 230++ PER SHIPMENT EXTRA </t>
  </si>
  <si>
    <t xml:space="preserve">TERMS  AND CONDITIONS  : </t>
  </si>
  <si>
    <t>Country / Zone</t>
  </si>
  <si>
    <t>ZONE 7</t>
  </si>
  <si>
    <t>ZONE 8</t>
  </si>
  <si>
    <t>ZONE 9</t>
  </si>
  <si>
    <t>USA</t>
  </si>
  <si>
    <t>Canada</t>
  </si>
  <si>
    <t>Mexico</t>
  </si>
  <si>
    <t>Germany</t>
  </si>
  <si>
    <t>Belgium</t>
  </si>
  <si>
    <t>UK</t>
  </si>
  <si>
    <t>Denmark</t>
  </si>
  <si>
    <t>Austria</t>
  </si>
  <si>
    <t xml:space="preserve">Norway </t>
  </si>
  <si>
    <t>Japan</t>
  </si>
  <si>
    <t>Hong Kong</t>
  </si>
  <si>
    <t>Australia</t>
  </si>
  <si>
    <t>New Zealand</t>
  </si>
  <si>
    <t>ZONE 1</t>
  </si>
  <si>
    <t>ZONE 2</t>
  </si>
  <si>
    <t>ZONE 3</t>
  </si>
  <si>
    <t>ZONE 4</t>
  </si>
  <si>
    <t>ZONE 6</t>
  </si>
  <si>
    <t>ZONE 10</t>
  </si>
  <si>
    <t>ZONE 11</t>
  </si>
  <si>
    <t>ZONE 12</t>
  </si>
  <si>
    <t>Israel</t>
  </si>
  <si>
    <t>zone-13</t>
  </si>
  <si>
    <t>Egypt</t>
  </si>
  <si>
    <t>FRENCH GUINEA</t>
  </si>
  <si>
    <t>UAE</t>
  </si>
  <si>
    <t>China</t>
  </si>
  <si>
    <t>zone-14</t>
  </si>
  <si>
    <t>zone-15</t>
  </si>
  <si>
    <t>Rates are All-including</t>
  </si>
  <si>
    <t>Puerto Rico</t>
  </si>
  <si>
    <t>Netherlands</t>
  </si>
  <si>
    <t>France</t>
  </si>
  <si>
    <t>Ireland</t>
  </si>
  <si>
    <t>Finland</t>
  </si>
  <si>
    <t>South Korea</t>
  </si>
  <si>
    <t>Singapore</t>
  </si>
  <si>
    <t>Indonesia</t>
  </si>
  <si>
    <t>No Additional Handling Surcharge</t>
  </si>
  <si>
    <t>REST OF WORLD COUNTRIES</t>
  </si>
  <si>
    <t>Luxembourg</t>
  </si>
  <si>
    <t>Italy</t>
  </si>
  <si>
    <t>Portugal</t>
  </si>
  <si>
    <t>Greece</t>
  </si>
  <si>
    <t>Malaysia</t>
  </si>
  <si>
    <t>Philipines</t>
  </si>
  <si>
    <t>No Extended Area Surcharge</t>
  </si>
  <si>
    <t>Spain</t>
  </si>
  <si>
    <t>Sweden</t>
  </si>
  <si>
    <t>Thailand</t>
  </si>
  <si>
    <t>No Address Correction</t>
  </si>
  <si>
    <t>Switzerland</t>
  </si>
  <si>
    <t>No Residencial Delivery Area Surcharge</t>
  </si>
  <si>
    <t>This service not applocable, if weight of box is more than 70 Kg</t>
  </si>
  <si>
    <t>Min 40 kgs chargeable weight applicable on Grith &gt;300 cms   (L+2W+2H)</t>
  </si>
  <si>
    <t>INR 9450++ if Maximum weight per package increase by 70 Kg.</t>
  </si>
  <si>
    <t>INR 9450++ if Grith is more than 400 Cms.</t>
  </si>
  <si>
    <t>Self Clearance Charges for all commerical shipments - USA, CANADA, MEXICO, EUROPE</t>
  </si>
  <si>
    <t>Upto 100 Kg------2200 + GST</t>
  </si>
  <si>
    <t>Above 300 Kg------2000+ INR 2 Per Kg +GST</t>
  </si>
  <si>
    <t>Clearance by UPS -3150+gst</t>
  </si>
  <si>
    <t>INR 1050++  will be charged for DDP Delivery (at the time of Label execution).&amp; Duty , Vat ,Disbursment, Any other extra applicable</t>
  </si>
  <si>
    <r>
      <t xml:space="preserve">INR 368++  will be charged for </t>
    </r>
    <r>
      <rPr>
        <b/>
        <sz val="11"/>
        <rFont val="Calibri"/>
        <family val="2"/>
      </rPr>
      <t>Signature delivery</t>
    </r>
  </si>
  <si>
    <t>INR 26565+gst Extra on Prohibited Item Fee</t>
  </si>
  <si>
    <t>Remote Area Charges applicable Fee of Rs. 57++ per kg with a minimum of Rs. 3150++ will be charged extra.</t>
  </si>
  <si>
    <t>Shipping charge correction audit fee- INR 147.00 Per shipment or 8% of the total amount of shipping charges corrections, whichever is greater applicable</t>
  </si>
  <si>
    <t xml:space="preserve">LIABILITY FOR ANY LOST,DAMAGE and SHORTAGES. Maximum USD 100 WILL BE CREDITED IN CASE OF LOST. </t>
  </si>
  <si>
    <t>UPS WEIGHT IS FINAL &amp; THAT WILL BE COMMUNICATED AFTER 5-6 DAYS OF CONNECTION</t>
  </si>
  <si>
    <t>Duty &amp; Taxes Extra at destination, if any</t>
  </si>
  <si>
    <t>Duty will be bill back to you, if cnee do not pay, in case of DDU as well.</t>
  </si>
  <si>
    <t>Unlawful drug Fee INR-90878+gst per piece extra (refer email dtd 17.09.25)</t>
  </si>
  <si>
    <t>All shipments are booked on DDU (Delivered Duty Unpaid) basis, under which customs duty, taxes, and destination charges are payable by the consignee at destination; however, if the consignee fails to pay the duty and taxes at destination, the same shall be billed to the shipper by the destination courier (UPS or its network partner). For duty and tax proof, only the UPS duty invoice/bill will be provided, and no customs receipt or any other government document can be furnished. Duty reversal, if applicable, may be processed at any time within 365 days, subject to successful payment by the consignee and approval from the courier company. It is the shipper’s responsibility to ensure consignee cooperation for timely payment, and the company shall not be liable for any delay, RTS , penalty, storage, or additional charges arising due to non-payment or delayed payment of duty by the consignee.</t>
  </si>
  <si>
    <t>CSB-V charges INR 1000+gst</t>
  </si>
  <si>
    <t>Bangladesh, Nepal, Sri Lanka,</t>
  </si>
  <si>
    <t>Macau, Taiwan, Vietnam,</t>
  </si>
  <si>
    <t>Bahrain, Jordan, Kuwait, Lebanon, Oman, Pakistan, Qatar, Saudi Arabia,</t>
  </si>
  <si>
    <t>Andorra, San Marino,</t>
  </si>
  <si>
    <t>ZONE 5</t>
  </si>
  <si>
    <t>Country wise</t>
  </si>
  <si>
    <t>Guernsey, Jersey, Saipan,</t>
  </si>
  <si>
    <t>Algeria, Benin, Bhutan, Botswana, Brunei, Burkina Faso, Burundi, Cambodia, Central African Rep, Chad, Cook Isl, Ethiopia, ,</t>
  </si>
  <si>
    <t xml:space="preserve"> French Polynesia, Gabon, Ghana, Guam, Guinea Rep, Guinea-Bissau, Kenya, Kiribati, Laos, Lesotho, Liberia, Madagascar, Malawi,</t>
  </si>
  <si>
    <t xml:space="preserve"> Mali, Marshal Isl, Mauritania, Micronesia, Mongolia, Morocco, Mozambique, Myanmar, Namibia, Nigeria, </t>
  </si>
  <si>
    <t>Palau, Papua New Guinea, Rwanda, Senegal, Soloman Isl, South Africa, Swaziland, Tanzania, Timor Leste, Togo, Tonga, Tunisia, Tuvalu, Uganda, Vanuatu, Wallis &amp; Futuna Isl, Zambia, Zimbabwe</t>
  </si>
  <si>
    <t>Czech Rep, Hungary, Poland,</t>
  </si>
  <si>
    <t>Anguilla, Antigua &amp; Barbados, Barbados, Belize, Bonaire, Brazil, Cayman Isl, Chile, Colombia, Cuba, Dominica, Dominican Rep</t>
  </si>
  <si>
    <t>, Ecuador, El Salvador, Honduras, Montserrat, Nicaragua, Peru, St Kitts &amp; Nevis, St Vincent &amp; Grenadi</t>
  </si>
  <si>
    <t>, St Martin, St Mateen, Turks &amp; Caicos Isl, Venezuela,</t>
  </si>
  <si>
    <t>Albania, Armenia, Belarus, Bosnia &amp; Herzegovina, Croatia, Estonia, Georgia, Kosovo, Latvia, Lithuania,</t>
  </si>
  <si>
    <t xml:space="preserve"> Macedonia, Moldova, Montenegro, Serbia Montenegro, Slovenia, Ukraine,</t>
  </si>
  <si>
    <t>Maldives, Mauritius, New Caledonia,</t>
  </si>
  <si>
    <t>20+</t>
  </si>
  <si>
    <t>30+</t>
  </si>
  <si>
    <t>Argentina, Aruba, Bahamas, Bermuda, Bolivia, British Virgin Isl, Costa Rica, Curacao, Grenada, Guadeloupe</t>
  </si>
  <si>
    <t>50+</t>
  </si>
  <si>
    <t>Guatemala, Guyana, Haiti, Jamaica, Martinique, Panama, Paraguay, St Barthelemy, St Lucia, Suriname, Trinidad &amp; Tobago, US Virgin Isl, Uruguay,</t>
  </si>
  <si>
    <t>70+</t>
  </si>
  <si>
    <t>100+</t>
  </si>
  <si>
    <t>ZONE 13</t>
  </si>
  <si>
    <t>Bulgaria, Cyprus, Gibraltar, Iceland, Malta, Romania, Slovakia, Turkey,</t>
  </si>
  <si>
    <t>300+</t>
  </si>
  <si>
    <t>ZONE 14</t>
  </si>
  <si>
    <t>Angola, Azerbaijan, Cape Verde, Comoros, Equatorial Guinea, Eritrea, Faroe Isl, Greenland, Kazakhstan, Kyrgyzstan, Mayotte, Tajikistan, Uzbekistan,</t>
  </si>
  <si>
    <t>500+</t>
  </si>
  <si>
    <t>ZONE 15</t>
  </si>
  <si>
    <t>American Samoa, Cameroon, Congo, Djibouti, Gambia, Ivory Coast, Niger, Reunion Isl, Seychelles, Sierra Leone, Samoa,</t>
  </si>
  <si>
    <t>1000+</t>
  </si>
  <si>
    <t>St Croix, St Eustatius, St John, St Kitts &amp; Nevis, St Martin, St Marteen, St Thomas, St Vincent &amp; Grenadi, Tahiti, Tortola, Truk,</t>
  </si>
  <si>
    <t>Turks &amp; Caicas Island,   Venezuela,  Yap, Zaire</t>
  </si>
  <si>
    <t>COST Excluding FSC &amp; GST</t>
  </si>
  <si>
    <t>Zone Guide</t>
  </si>
  <si>
    <t>Pls. Change fuel Surchrage (weekly)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</si>
</sst>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
    <numFmt numFmtId="165" formatCode="0.0%"/>
    <numFmt numFmtId="166" formatCode="0_ ;\-0\ "/>
  </numFmts>
  <fonts count="18"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b/>
      <sz val="9"/>
      <name val="Calibri"/>
      <family val="2"/>
      <scheme val="minor"/>
    </font>
    <font>
      <b/>
      <sz val="10"/>
      <color rgb="FFFF0000"/>
      <name val="Aptos Black"/>
      <family val="2"/>
    </font>
    <font>
      <sz val="11"/>
      <color theme="1"/>
      <name val="Garamond"/>
      <family val="2"/>
    </font>
    <font>
      <b/>
      <u/>
      <sz val="8"/>
      <name val="Calibri"/>
      <family val="2"/>
      <scheme val="minor"/>
    </font>
    <font>
      <b/>
      <sz val="10"/>
      <name val="Calibri"/>
      <family val="2"/>
      <scheme val="minor"/>
    </font>
    <font>
      <b/>
      <sz val="12"/>
      <name val="Calibri"/>
      <family val="2"/>
      <scheme val="minor"/>
    </font>
    <font>
      <sz val="10"/>
      <name val="Calibri"/>
      <family val="2"/>
      <scheme val="minor"/>
    </font>
    <font>
      <b/>
      <sz val="11"/>
      <name val="Calibri"/>
      <family val="2"/>
    </font>
    <font>
      <b/>
      <sz val="10"/>
      <color rgb="FFFF0000"/>
      <name val="Calibri"/>
      <family val="2"/>
      <scheme val="minor"/>
    </font>
    <font>
      <b/>
      <sz val="10"/>
      <color rgb="FFFF0000"/>
      <name val="Arial"/>
      <family val="2"/>
    </font>
    <font>
      <b/>
      <u/>
      <sz val="12"/>
      <color rgb="FFFF0000"/>
      <name val="Calibri"/>
      <family val="2"/>
      <scheme val="minor"/>
    </font>
    <font>
      <b/>
      <sz val="14"/>
      <name val="Calibri"/>
      <family val="2"/>
      <scheme val="minor"/>
    </font>
    <font>
      <sz val="11"/>
      <color theme="1" tint="4.9989318521683403E-2"/>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26">
    <border>
      <left/>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6">
    <xf numFmtId="0" fontId="0" fillId="0" borderId="0"/>
    <xf numFmtId="9" fontId="1" fillId="0" borderId="0" applyFont="0" applyFill="0" applyBorder="0" applyAlignment="0" applyProtection="0"/>
    <xf numFmtId="0" fontId="1" fillId="0" borderId="0"/>
    <xf numFmtId="0" fontId="7" fillId="0" borderId="0"/>
    <xf numFmtId="0" fontId="1" fillId="0" borderId="0"/>
    <xf numFmtId="43" fontId="1" fillId="0" borderId="0" applyFont="0" applyFill="0" applyBorder="0" applyAlignment="0" applyProtection="0"/>
  </cellStyleXfs>
  <cellXfs count="78">
    <xf numFmtId="0" fontId="0" fillId="0" borderId="0" xfId="0"/>
    <xf numFmtId="0" fontId="3" fillId="0" borderId="0" xfId="0" applyFont="1" applyAlignment="1">
      <alignment horizontal="center" vertical="center"/>
    </xf>
    <xf numFmtId="0" fontId="3" fillId="0" borderId="0" xfId="0" applyFont="1"/>
    <xf numFmtId="0" fontId="6" fillId="0" borderId="0" xfId="2" applyFont="1" applyAlignment="1">
      <alignment horizontal="left" vertical="center"/>
    </xf>
    <xf numFmtId="0" fontId="8" fillId="0" borderId="0" xfId="3" applyFont="1" applyAlignment="1">
      <alignment horizontal="left" vertical="center"/>
    </xf>
    <xf numFmtId="1" fontId="3" fillId="0" borderId="0" xfId="0" applyNumberFormat="1" applyFont="1" applyAlignment="1">
      <alignment horizontal="center" vertical="center" shrinkToFit="1"/>
    </xf>
    <xf numFmtId="0" fontId="9" fillId="0" borderId="0" xfId="2" applyFont="1" applyAlignment="1">
      <alignment horizontal="left" vertical="center"/>
    </xf>
    <xf numFmtId="0" fontId="4" fillId="0" borderId="0" xfId="0" applyFont="1" applyAlignment="1">
      <alignment horizontal="center" vertical="center"/>
    </xf>
    <xf numFmtId="1" fontId="3" fillId="0" borderId="0" xfId="0" applyNumberFormat="1" applyFont="1" applyAlignment="1">
      <alignment horizontal="center" vertical="center"/>
    </xf>
    <xf numFmtId="0" fontId="11" fillId="0" borderId="0" xfId="2" applyFont="1" applyAlignment="1">
      <alignment horizontal="left" vertical="center"/>
    </xf>
    <xf numFmtId="0" fontId="3" fillId="0" borderId="0" xfId="0" applyFont="1" applyAlignment="1">
      <alignment horizontal="left" vertical="center"/>
    </xf>
    <xf numFmtId="0" fontId="11" fillId="0" borderId="0" xfId="0" applyFont="1" applyAlignment="1">
      <alignment horizontal="left" vertical="center"/>
    </xf>
    <xf numFmtId="1" fontId="4" fillId="0" borderId="0" xfId="0" applyNumberFormat="1" applyFont="1" applyAlignment="1">
      <alignment horizontal="left" vertical="center"/>
    </xf>
    <xf numFmtId="1" fontId="3" fillId="0" borderId="0" xfId="0" applyNumberFormat="1" applyFont="1" applyAlignment="1">
      <alignment horizontal="left" vertical="center"/>
    </xf>
    <xf numFmtId="0" fontId="3" fillId="0" borderId="0" xfId="2" applyFont="1" applyAlignment="1">
      <alignment horizontal="left" vertical="center"/>
    </xf>
    <xf numFmtId="0" fontId="4" fillId="0" borderId="0" xfId="2" applyFont="1" applyAlignment="1">
      <alignment horizontal="left" vertical="center"/>
    </xf>
    <xf numFmtId="0" fontId="3" fillId="0" borderId="0" xfId="2" applyFont="1" applyAlignment="1">
      <alignment vertical="center"/>
    </xf>
    <xf numFmtId="0" fontId="13" fillId="0" borderId="0" xfId="2" applyFont="1" applyAlignment="1">
      <alignment horizontal="left" vertical="center"/>
    </xf>
    <xf numFmtId="165" fontId="3" fillId="0" borderId="0" xfId="1" applyNumberFormat="1" applyFont="1" applyFill="1" applyAlignment="1" applyProtection="1">
      <alignment horizontal="center" vertical="center"/>
      <protection hidden="1"/>
    </xf>
    <xf numFmtId="0" fontId="3" fillId="0" borderId="0" xfId="0" applyFont="1" applyAlignment="1">
      <alignment vertical="center"/>
    </xf>
    <xf numFmtId="0" fontId="4" fillId="0" borderId="0" xfId="2" applyFont="1" applyAlignment="1">
      <alignment vertical="center"/>
    </xf>
    <xf numFmtId="166" fontId="14" fillId="2" borderId="0" xfId="0" applyNumberFormat="1" applyFont="1" applyFill="1" applyAlignment="1">
      <alignment horizontal="left" vertical="center"/>
    </xf>
    <xf numFmtId="0" fontId="2" fillId="0" borderId="0" xfId="0" applyFont="1"/>
    <xf numFmtId="1" fontId="4" fillId="0" borderId="0" xfId="0" applyNumberFormat="1" applyFont="1" applyAlignment="1">
      <alignment horizontal="center" vertical="center"/>
    </xf>
    <xf numFmtId="1" fontId="4" fillId="0" borderId="0" xfId="0" applyNumberFormat="1" applyFont="1" applyAlignment="1">
      <alignment horizontal="center" vertical="center" shrinkToFit="1"/>
    </xf>
    <xf numFmtId="0" fontId="15" fillId="2" borderId="0" xfId="3" applyFont="1" applyFill="1" applyAlignment="1">
      <alignment horizontal="left" vertical="center"/>
    </xf>
    <xf numFmtId="164" fontId="4" fillId="0" borderId="13" xfId="0" applyNumberFormat="1" applyFont="1" applyBorder="1" applyAlignment="1">
      <alignment horizontal="left" vertical="center"/>
    </xf>
    <xf numFmtId="164" fontId="4" fillId="0" borderId="14" xfId="0" applyNumberFormat="1" applyFont="1" applyBorder="1" applyAlignment="1">
      <alignment horizontal="left" vertical="center"/>
    </xf>
    <xf numFmtId="2" fontId="4" fillId="0" borderId="14" xfId="0" applyNumberFormat="1" applyFont="1" applyBorder="1" applyAlignment="1">
      <alignment horizontal="left" vertical="center"/>
    </xf>
    <xf numFmtId="2" fontId="4" fillId="0" borderId="15" xfId="0" applyNumberFormat="1" applyFont="1" applyBorder="1" applyAlignment="1">
      <alignment horizontal="left" vertical="center"/>
    </xf>
    <xf numFmtId="2" fontId="4" fillId="3" borderId="5" xfId="0" applyNumberFormat="1" applyFont="1" applyFill="1" applyBorder="1" applyAlignment="1">
      <alignment horizontal="left" vertical="center"/>
    </xf>
    <xf numFmtId="0" fontId="4" fillId="3" borderId="6" xfId="0" applyFont="1" applyFill="1" applyBorder="1" applyAlignment="1" applyProtection="1">
      <alignment horizontal="center" vertical="center"/>
      <protection hidden="1"/>
    </xf>
    <xf numFmtId="0" fontId="4" fillId="3" borderId="6" xfId="0" applyFont="1" applyFill="1" applyBorder="1" applyAlignment="1">
      <alignment horizontal="center" vertical="center"/>
    </xf>
    <xf numFmtId="0" fontId="5" fillId="3" borderId="6" xfId="0" applyFont="1" applyFill="1" applyBorder="1" applyAlignment="1" applyProtection="1">
      <alignment horizontal="center" vertical="center"/>
      <protection hidden="1"/>
    </xf>
    <xf numFmtId="0" fontId="2" fillId="3" borderId="6" xfId="0" applyFont="1" applyFill="1" applyBorder="1" applyAlignment="1">
      <alignment vertical="center" wrapText="1"/>
    </xf>
    <xf numFmtId="0" fontId="4" fillId="3" borderId="7" xfId="0" applyFont="1" applyFill="1" applyBorder="1" applyAlignment="1" applyProtection="1">
      <alignment horizontal="center" vertical="center"/>
      <protection hidden="1"/>
    </xf>
    <xf numFmtId="0" fontId="4" fillId="3" borderId="8" xfId="0" applyFont="1" applyFill="1" applyBorder="1"/>
    <xf numFmtId="0" fontId="4" fillId="3" borderId="4" xfId="0" applyFont="1" applyFill="1" applyBorder="1" applyAlignment="1">
      <alignment horizontal="center" vertical="center"/>
    </xf>
    <xf numFmtId="0" fontId="3" fillId="3" borderId="4" xfId="0" applyFont="1" applyFill="1" applyBorder="1" applyAlignment="1">
      <alignment horizontal="center" vertical="center"/>
    </xf>
    <xf numFmtId="0" fontId="4" fillId="3" borderId="9" xfId="0" applyFont="1" applyFill="1" applyBorder="1" applyAlignment="1">
      <alignment horizontal="center" vertical="center"/>
    </xf>
    <xf numFmtId="2" fontId="4" fillId="3" borderId="8" xfId="0" applyNumberFormat="1" applyFont="1" applyFill="1" applyBorder="1" applyAlignment="1">
      <alignment horizontal="left" vertical="center"/>
    </xf>
    <xf numFmtId="1" fontId="3" fillId="3" borderId="9" xfId="0" applyNumberFormat="1" applyFont="1" applyFill="1" applyBorder="1" applyAlignment="1">
      <alignment horizontal="center" vertical="center" shrinkToFit="1"/>
    </xf>
    <xf numFmtId="2" fontId="4" fillId="3" borderId="10" xfId="0" applyNumberFormat="1" applyFont="1" applyFill="1" applyBorder="1" applyAlignment="1">
      <alignment horizontal="left" vertical="center"/>
    </xf>
    <xf numFmtId="0" fontId="3" fillId="3" borderId="11" xfId="0" applyFont="1" applyFill="1" applyBorder="1" applyAlignment="1">
      <alignment horizontal="center" vertical="center"/>
    </xf>
    <xf numFmtId="0" fontId="4" fillId="3" borderId="11" xfId="0" applyFont="1" applyFill="1" applyBorder="1" applyAlignment="1">
      <alignment horizontal="center" vertical="center"/>
    </xf>
    <xf numFmtId="1" fontId="3" fillId="3" borderId="12" xfId="0" applyNumberFormat="1" applyFont="1" applyFill="1" applyBorder="1" applyAlignment="1">
      <alignment horizontal="center" vertical="center" shrinkToFit="1"/>
    </xf>
    <xf numFmtId="164" fontId="4" fillId="0" borderId="16" xfId="0" applyNumberFormat="1" applyFont="1" applyBorder="1" applyAlignment="1">
      <alignment horizontal="left" vertical="center"/>
    </xf>
    <xf numFmtId="2" fontId="4" fillId="0" borderId="13" xfId="0" applyNumberFormat="1" applyFont="1" applyBorder="1" applyAlignment="1">
      <alignment horizontal="left" vertical="center"/>
    </xf>
    <xf numFmtId="2" fontId="4" fillId="3" borderId="19" xfId="0" applyNumberFormat="1" applyFont="1" applyFill="1" applyBorder="1" applyAlignment="1">
      <alignment horizontal="left" vertical="center"/>
    </xf>
    <xf numFmtId="0" fontId="4" fillId="3" borderId="2"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3" xfId="0" applyFont="1" applyFill="1" applyBorder="1" applyAlignment="1">
      <alignment horizontal="center" vertical="center"/>
    </xf>
    <xf numFmtId="1" fontId="0" fillId="0" borderId="0" xfId="0" applyNumberFormat="1"/>
    <xf numFmtId="0" fontId="15" fillId="2" borderId="24" xfId="3" applyFont="1" applyFill="1" applyBorder="1" applyAlignment="1">
      <alignment horizontal="left" vertical="center"/>
    </xf>
    <xf numFmtId="0" fontId="3" fillId="2" borderId="25" xfId="0" applyFont="1" applyFill="1" applyBorder="1" applyAlignment="1">
      <alignment horizontal="center" vertical="center"/>
    </xf>
    <xf numFmtId="10" fontId="16" fillId="2" borderId="23" xfId="0" applyNumberFormat="1" applyFont="1" applyFill="1" applyBorder="1" applyAlignment="1">
      <alignment horizontal="center" vertical="center"/>
    </xf>
    <xf numFmtId="0" fontId="0" fillId="2" borderId="0" xfId="0" applyFill="1"/>
    <xf numFmtId="164" fontId="4" fillId="0" borderId="13" xfId="0" applyNumberFormat="1" applyFont="1" applyBorder="1" applyAlignment="1" applyProtection="1">
      <alignment horizontal="left" vertical="center"/>
      <protection hidden="1"/>
    </xf>
    <xf numFmtId="164" fontId="4" fillId="0" borderId="14" xfId="0" applyNumberFormat="1" applyFont="1" applyBorder="1" applyAlignment="1" applyProtection="1">
      <alignment horizontal="left" vertical="center"/>
      <protection hidden="1"/>
    </xf>
    <xf numFmtId="164" fontId="4" fillId="0" borderId="16" xfId="0" applyNumberFormat="1" applyFont="1" applyBorder="1" applyAlignment="1" applyProtection="1">
      <alignment horizontal="left" vertical="center"/>
      <protection hidden="1"/>
    </xf>
    <xf numFmtId="2" fontId="4" fillId="0" borderId="13" xfId="0" applyNumberFormat="1" applyFont="1" applyBorder="1" applyAlignment="1" applyProtection="1">
      <alignment horizontal="left" vertical="center"/>
      <protection hidden="1"/>
    </xf>
    <xf numFmtId="2" fontId="4" fillId="0" borderId="14" xfId="0" applyNumberFormat="1" applyFont="1" applyBorder="1" applyAlignment="1" applyProtection="1">
      <alignment horizontal="left" vertical="center"/>
      <protection hidden="1"/>
    </xf>
    <xf numFmtId="2" fontId="4" fillId="0" borderId="15" xfId="0" applyNumberFormat="1" applyFont="1" applyBorder="1" applyAlignment="1" applyProtection="1">
      <alignment horizontal="left" vertical="center"/>
      <protection hidden="1"/>
    </xf>
    <xf numFmtId="1" fontId="17" fillId="0" borderId="5" xfId="0" applyNumberFormat="1" applyFont="1" applyBorder="1" applyAlignment="1" applyProtection="1">
      <alignment horizontal="center" vertical="center" shrinkToFit="1"/>
      <protection hidden="1"/>
    </xf>
    <xf numFmtId="1" fontId="17" fillId="0" borderId="6" xfId="0" applyNumberFormat="1" applyFont="1" applyBorder="1" applyAlignment="1" applyProtection="1">
      <alignment horizontal="center" vertical="center" shrinkToFit="1"/>
      <protection hidden="1"/>
    </xf>
    <xf numFmtId="1" fontId="17" fillId="0" borderId="7" xfId="0" applyNumberFormat="1" applyFont="1" applyBorder="1" applyAlignment="1" applyProtection="1">
      <alignment horizontal="center" vertical="center" shrinkToFit="1"/>
      <protection hidden="1"/>
    </xf>
    <xf numFmtId="1" fontId="17" fillId="0" borderId="8" xfId="0" applyNumberFormat="1" applyFont="1" applyBorder="1" applyAlignment="1" applyProtection="1">
      <alignment horizontal="center" vertical="center" shrinkToFit="1"/>
      <protection hidden="1"/>
    </xf>
    <xf numFmtId="1" fontId="17" fillId="0" borderId="4" xfId="0" applyNumberFormat="1" applyFont="1" applyBorder="1" applyAlignment="1" applyProtection="1">
      <alignment horizontal="center" vertical="center" shrinkToFit="1"/>
      <protection hidden="1"/>
    </xf>
    <xf numFmtId="1" fontId="17" fillId="0" borderId="9" xfId="0" applyNumberFormat="1" applyFont="1" applyBorder="1" applyAlignment="1" applyProtection="1">
      <alignment horizontal="center" vertical="center" shrinkToFit="1"/>
      <protection hidden="1"/>
    </xf>
    <xf numFmtId="1" fontId="17" fillId="0" borderId="17" xfId="0" applyNumberFormat="1" applyFont="1" applyBorder="1" applyAlignment="1" applyProtection="1">
      <alignment horizontal="center" vertical="center" shrinkToFit="1"/>
      <protection hidden="1"/>
    </xf>
    <xf numFmtId="1" fontId="17" fillId="0" borderId="1" xfId="0" applyNumberFormat="1" applyFont="1" applyBorder="1" applyAlignment="1" applyProtection="1">
      <alignment horizontal="center" vertical="center" shrinkToFit="1"/>
      <protection hidden="1"/>
    </xf>
    <xf numFmtId="1" fontId="17" fillId="0" borderId="18" xfId="0" applyNumberFormat="1" applyFont="1" applyBorder="1" applyAlignment="1" applyProtection="1">
      <alignment horizontal="center" vertical="center" shrinkToFit="1"/>
      <protection hidden="1"/>
    </xf>
    <xf numFmtId="1" fontId="17" fillId="0" borderId="10" xfId="0" applyNumberFormat="1" applyFont="1" applyBorder="1" applyAlignment="1" applyProtection="1">
      <alignment horizontal="center" vertical="center" shrinkToFit="1"/>
      <protection hidden="1"/>
    </xf>
    <xf numFmtId="1" fontId="17" fillId="0" borderId="11" xfId="0" applyNumberFormat="1" applyFont="1" applyBorder="1" applyAlignment="1" applyProtection="1">
      <alignment horizontal="center" vertical="center" shrinkToFit="1"/>
      <protection hidden="1"/>
    </xf>
    <xf numFmtId="1" fontId="17" fillId="0" borderId="12" xfId="0" applyNumberFormat="1" applyFont="1" applyBorder="1" applyAlignment="1" applyProtection="1">
      <alignment horizontal="center" vertical="center" shrinkToFit="1"/>
      <protection hidden="1"/>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10" fillId="3" borderId="22" xfId="0" applyFont="1" applyFill="1" applyBorder="1" applyAlignment="1">
      <alignment horizontal="center" vertical="center"/>
    </xf>
  </cellXfs>
  <cellStyles count="6">
    <cellStyle name="Comma 2" xfId="5" xr:uid="{00000000-0005-0000-0000-000000000000}"/>
    <cellStyle name="Normal" xfId="0" builtinId="0"/>
    <cellStyle name="Normal 2 2 2" xfId="2" xr:uid="{00000000-0005-0000-0000-000002000000}"/>
    <cellStyle name="Normal 4" xfId="4" xr:uid="{00000000-0005-0000-0000-000003000000}"/>
    <cellStyle name="Normal 5" xfId="3" xr:uid="{00000000-0005-0000-0000-000004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2:AT86"/>
  <sheetViews>
    <sheetView tabSelected="1" topLeftCell="A40" workbookViewId="0">
      <selection activeCell="K51" sqref="K51"/>
    </sheetView>
  </sheetViews>
  <sheetFormatPr defaultRowHeight="15" x14ac:dyDescent="0.25"/>
  <cols>
    <col min="1" max="1" width="13.85546875" bestFit="1" customWidth="1"/>
    <col min="2" max="3" width="10.5703125" customWidth="1"/>
    <col min="4" max="4" width="9.85546875" customWidth="1"/>
    <col min="5" max="5" width="6" customWidth="1"/>
    <col min="6" max="6" width="7.28515625" customWidth="1"/>
    <col min="7" max="7" width="10.7109375" customWidth="1"/>
    <col min="8" max="8" width="8.7109375" customWidth="1"/>
    <col min="9" max="9" width="11.5703125" customWidth="1"/>
    <col min="10" max="10" width="5" customWidth="1"/>
    <col min="11" max="11" width="10.7109375" customWidth="1"/>
    <col min="12" max="12" width="8.140625" customWidth="1"/>
    <col min="13" max="13" width="8" customWidth="1"/>
    <col min="14" max="14" width="11.28515625" customWidth="1"/>
    <col min="15" max="15" width="10.28515625" customWidth="1"/>
    <col min="16" max="16" width="8.28515625" customWidth="1"/>
    <col min="17" max="17" width="11.85546875" bestFit="1" customWidth="1"/>
    <col min="18" max="20" width="6" customWidth="1"/>
    <col min="21" max="21" width="5.7109375" customWidth="1"/>
    <col min="22" max="22" width="6" customWidth="1"/>
    <col min="23" max="25" width="6.42578125" customWidth="1"/>
    <col min="26" max="26" width="6" customWidth="1"/>
    <col min="27" max="27" width="8.28515625" customWidth="1"/>
    <col min="28" max="28" width="7.5703125" customWidth="1"/>
    <col min="29" max="29" width="10.140625" customWidth="1"/>
    <col min="30" max="30" width="6" customWidth="1"/>
    <col min="31" max="31" width="9.28515625" bestFit="1" customWidth="1"/>
    <col min="32" max="33" width="7.7109375" customWidth="1"/>
  </cols>
  <sheetData>
    <row r="2" spans="1:46" ht="15.75" thickBot="1" x14ac:dyDescent="0.3"/>
    <row r="3" spans="1:46" ht="19.5" thickBot="1" x14ac:dyDescent="0.3">
      <c r="A3" s="53" t="s">
        <v>117</v>
      </c>
      <c r="B3" s="54"/>
      <c r="C3" s="54"/>
      <c r="D3" s="55">
        <v>0.50249999999999995</v>
      </c>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46" ht="30" x14ac:dyDescent="0.25">
      <c r="A4" s="30" t="s">
        <v>2</v>
      </c>
      <c r="B4" s="31" t="s">
        <v>3</v>
      </c>
      <c r="C4" s="31" t="s">
        <v>4</v>
      </c>
      <c r="D4" s="31" t="s">
        <v>5</v>
      </c>
      <c r="E4" s="32" t="s">
        <v>6</v>
      </c>
      <c r="F4" s="32" t="s">
        <v>7</v>
      </c>
      <c r="G4" s="32" t="s">
        <v>8</v>
      </c>
      <c r="H4" s="32" t="s">
        <v>9</v>
      </c>
      <c r="I4" s="32" t="s">
        <v>10</v>
      </c>
      <c r="J4" s="32" t="s">
        <v>11</v>
      </c>
      <c r="K4" s="32" t="s">
        <v>12</v>
      </c>
      <c r="L4" s="32" t="s">
        <v>13</v>
      </c>
      <c r="M4" s="32" t="s">
        <v>14</v>
      </c>
      <c r="N4" s="32" t="s">
        <v>15</v>
      </c>
      <c r="O4" s="32" t="s">
        <v>16</v>
      </c>
      <c r="P4" s="32" t="s">
        <v>17</v>
      </c>
      <c r="Q4" s="32" t="s">
        <v>18</v>
      </c>
      <c r="R4" s="33" t="s">
        <v>19</v>
      </c>
      <c r="S4" s="33" t="s">
        <v>20</v>
      </c>
      <c r="T4" s="33" t="s">
        <v>21</v>
      </c>
      <c r="U4" s="33" t="s">
        <v>22</v>
      </c>
      <c r="V4" s="33" t="s">
        <v>23</v>
      </c>
      <c r="W4" s="33" t="s">
        <v>24</v>
      </c>
      <c r="X4" s="33" t="s">
        <v>25</v>
      </c>
      <c r="Y4" s="33" t="s">
        <v>26</v>
      </c>
      <c r="Z4" s="33" t="s">
        <v>27</v>
      </c>
      <c r="AA4" s="31" t="s">
        <v>28</v>
      </c>
      <c r="AB4" s="31" t="s">
        <v>29</v>
      </c>
      <c r="AC4" s="34" t="s">
        <v>30</v>
      </c>
      <c r="AD4" s="31" t="s">
        <v>31</v>
      </c>
      <c r="AE4" s="31" t="s">
        <v>32</v>
      </c>
      <c r="AF4" s="31" t="s">
        <v>33</v>
      </c>
      <c r="AG4" s="35" t="s">
        <v>34</v>
      </c>
      <c r="AJ4" s="2"/>
      <c r="AK4" s="1"/>
      <c r="AL4" s="1"/>
      <c r="AM4" s="1"/>
      <c r="AN4" s="1"/>
      <c r="AO4" s="1"/>
      <c r="AP4" s="1"/>
      <c r="AQ4" s="1"/>
      <c r="AR4" s="1"/>
      <c r="AS4" s="1"/>
      <c r="AT4" s="1"/>
    </row>
    <row r="5" spans="1:46" ht="15.75" thickBot="1" x14ac:dyDescent="0.3">
      <c r="A5" s="36"/>
      <c r="B5" s="50"/>
      <c r="C5" s="50"/>
      <c r="D5" s="50"/>
      <c r="E5" s="37"/>
      <c r="F5" s="37"/>
      <c r="G5" s="37" t="s">
        <v>36</v>
      </c>
      <c r="H5" s="37"/>
      <c r="I5" s="37" t="s">
        <v>37</v>
      </c>
      <c r="J5" s="37"/>
      <c r="K5" s="37" t="s">
        <v>38</v>
      </c>
      <c r="L5" s="37" t="s">
        <v>39</v>
      </c>
      <c r="M5" s="37" t="s">
        <v>40</v>
      </c>
      <c r="N5" s="37" t="s">
        <v>41</v>
      </c>
      <c r="O5" s="37" t="s">
        <v>42</v>
      </c>
      <c r="P5" s="37"/>
      <c r="Q5" s="37"/>
      <c r="R5" s="38"/>
      <c r="S5" s="38"/>
      <c r="T5" s="38"/>
      <c r="U5" s="38"/>
      <c r="V5" s="38"/>
      <c r="W5" s="38"/>
      <c r="X5" s="38"/>
      <c r="Y5" s="38"/>
      <c r="Z5" s="38"/>
      <c r="AA5" s="37"/>
      <c r="AB5" s="37"/>
      <c r="AC5" s="37"/>
      <c r="AD5" s="37"/>
      <c r="AE5" s="37" t="s">
        <v>43</v>
      </c>
      <c r="AF5" s="37"/>
      <c r="AG5" s="39"/>
      <c r="AJ5" s="5"/>
      <c r="AK5" s="5"/>
      <c r="AL5" s="5"/>
      <c r="AM5" s="1"/>
      <c r="AN5" s="1"/>
      <c r="AO5" s="1"/>
      <c r="AP5" s="1"/>
      <c r="AQ5" s="1"/>
      <c r="AR5" s="1"/>
      <c r="AS5" s="1"/>
      <c r="AT5" s="1"/>
    </row>
    <row r="6" spans="1:46" ht="16.5" thickBot="1" x14ac:dyDescent="0.3">
      <c r="A6" s="48"/>
      <c r="B6" s="75" t="s">
        <v>45</v>
      </c>
      <c r="C6" s="76"/>
      <c r="D6" s="77"/>
      <c r="E6" s="49"/>
      <c r="F6" s="37"/>
      <c r="G6" s="37"/>
      <c r="H6" s="37"/>
      <c r="I6" s="37" t="s">
        <v>46</v>
      </c>
      <c r="J6" s="37"/>
      <c r="K6" s="37" t="s">
        <v>47</v>
      </c>
      <c r="L6" s="37" t="s">
        <v>48</v>
      </c>
      <c r="M6" s="37" t="s">
        <v>49</v>
      </c>
      <c r="N6" s="37"/>
      <c r="O6" s="37" t="s">
        <v>50</v>
      </c>
      <c r="P6" s="37"/>
      <c r="Q6" s="37"/>
      <c r="R6" s="38"/>
      <c r="S6" s="38"/>
      <c r="T6" s="38"/>
      <c r="U6" s="38"/>
      <c r="V6" s="38"/>
      <c r="W6" s="38"/>
      <c r="X6" s="38"/>
      <c r="Y6" s="38"/>
      <c r="Z6" s="38"/>
      <c r="AA6" s="37"/>
      <c r="AB6" s="37"/>
      <c r="AC6" s="37"/>
      <c r="AD6" s="37"/>
      <c r="AE6" s="37" t="s">
        <v>51</v>
      </c>
      <c r="AF6" s="37"/>
      <c r="AG6" s="39"/>
      <c r="AJ6" s="1"/>
      <c r="AK6" s="1"/>
      <c r="AL6" s="1"/>
      <c r="AM6" s="1"/>
      <c r="AN6" s="1"/>
      <c r="AO6" s="1"/>
      <c r="AP6" s="1"/>
      <c r="AQ6" s="1"/>
      <c r="AR6" s="1"/>
      <c r="AS6" s="1"/>
      <c r="AT6" s="1"/>
    </row>
    <row r="7" spans="1:46" x14ac:dyDescent="0.25">
      <c r="A7" s="40"/>
      <c r="B7" s="51"/>
      <c r="C7" s="51"/>
      <c r="D7" s="51"/>
      <c r="E7" s="37"/>
      <c r="F7" s="37"/>
      <c r="G7" s="37"/>
      <c r="H7" s="37"/>
      <c r="I7" s="37"/>
      <c r="J7" s="37"/>
      <c r="K7" s="37" t="s">
        <v>53</v>
      </c>
      <c r="L7" s="37" t="s">
        <v>54</v>
      </c>
      <c r="M7" s="37"/>
      <c r="N7" s="37"/>
      <c r="O7" s="37" t="s">
        <v>55</v>
      </c>
      <c r="P7" s="37"/>
      <c r="Q7" s="37"/>
      <c r="R7" s="38"/>
      <c r="S7" s="38"/>
      <c r="T7" s="38"/>
      <c r="U7" s="38"/>
      <c r="V7" s="38"/>
      <c r="W7" s="38"/>
      <c r="X7" s="38"/>
      <c r="Y7" s="38"/>
      <c r="Z7" s="38"/>
      <c r="AA7" s="38"/>
      <c r="AB7" s="38"/>
      <c r="AC7" s="38"/>
      <c r="AD7" s="38"/>
      <c r="AE7" s="38"/>
      <c r="AF7" s="38"/>
      <c r="AG7" s="41"/>
      <c r="AJ7" s="1"/>
      <c r="AK7" s="1"/>
      <c r="AL7" s="1"/>
      <c r="AM7" s="1"/>
      <c r="AN7" s="1"/>
      <c r="AO7" s="1"/>
      <c r="AP7" s="1"/>
      <c r="AQ7" s="1"/>
      <c r="AR7" s="1"/>
      <c r="AS7" s="1"/>
      <c r="AT7" s="1"/>
    </row>
    <row r="8" spans="1:46" ht="15.75" thickBot="1" x14ac:dyDescent="0.3">
      <c r="A8" s="42"/>
      <c r="B8" s="43"/>
      <c r="C8" s="43"/>
      <c r="D8" s="43"/>
      <c r="E8" s="44"/>
      <c r="F8" s="44"/>
      <c r="G8" s="44"/>
      <c r="H8" s="44"/>
      <c r="I8" s="44"/>
      <c r="J8" s="44"/>
      <c r="K8" s="44" t="s">
        <v>57</v>
      </c>
      <c r="L8" s="44"/>
      <c r="M8" s="44"/>
      <c r="N8" s="44"/>
      <c r="O8" s="44"/>
      <c r="P8" s="44"/>
      <c r="Q8" s="44"/>
      <c r="R8" s="43"/>
      <c r="S8" s="43"/>
      <c r="T8" s="43"/>
      <c r="U8" s="43"/>
      <c r="V8" s="43"/>
      <c r="W8" s="43"/>
      <c r="X8" s="43"/>
      <c r="Y8" s="43"/>
      <c r="Z8" s="43"/>
      <c r="AA8" s="43"/>
      <c r="AB8" s="43"/>
      <c r="AC8" s="43"/>
      <c r="AD8" s="43"/>
      <c r="AE8" s="43"/>
      <c r="AF8" s="43"/>
      <c r="AG8" s="45"/>
      <c r="AI8" s="22" t="s">
        <v>116</v>
      </c>
      <c r="AJ8" s="1"/>
      <c r="AK8" s="1"/>
      <c r="AL8" s="1"/>
      <c r="AM8" s="5"/>
      <c r="AN8" s="1"/>
      <c r="AO8" s="1"/>
      <c r="AP8" s="1"/>
      <c r="AQ8" s="1"/>
      <c r="AR8" s="1"/>
      <c r="AS8" s="1"/>
      <c r="AT8" s="1"/>
    </row>
    <row r="9" spans="1:46" x14ac:dyDescent="0.25">
      <c r="A9" s="26">
        <v>0.5</v>
      </c>
      <c r="B9" s="63">
        <f>('COST_UPS SAVER'!B9*'COST_UPS SAVER (Allin)'!$D$3+'COST_UPS SAVER'!B9)*118%</f>
        <v>2103.6051749999997</v>
      </c>
      <c r="C9" s="64">
        <f>('COST_UPS SAVER'!C9*'COST_UPS SAVER (Allin)'!$D$3+'COST_UPS SAVER'!C9)*118%</f>
        <v>2166.8994900000002</v>
      </c>
      <c r="D9" s="64">
        <f>('COST_UPS SAVER'!D9*'COST_UPS SAVER (Allin)'!$D$3+'COST_UPS SAVER'!D9)*118%</f>
        <v>2215.3010250000002</v>
      </c>
      <c r="E9" s="64">
        <f>('COST_UPS SAVER'!E9*'COST_UPS SAVER (Allin)'!$D$3+'COST_UPS SAVER'!E9)*118%</f>
        <v>1919.3070224999999</v>
      </c>
      <c r="F9" s="64">
        <f>('COST_UPS SAVER'!F9*'COST_UPS SAVER (Allin)'!$D$3+'COST_UPS SAVER'!F9)*118%</f>
        <v>1986.3245324999998</v>
      </c>
      <c r="G9" s="64">
        <f>('COST_UPS SAVER'!G9*'COST_UPS SAVER (Allin)'!$D$3+'COST_UPS SAVER'!G9)*118%</f>
        <v>2003.07891</v>
      </c>
      <c r="H9" s="64">
        <f>('COST_UPS SAVER'!H9*'COST_UPS SAVER (Allin)'!$D$3+'COST_UPS SAVER'!H9)*118%</f>
        <v>1366.4125650000001</v>
      </c>
      <c r="I9" s="64">
        <f>('COST_UPS SAVER'!I9*'COST_UPS SAVER (Allin)'!$D$3+'COST_UPS SAVER'!I9)*118%</f>
        <v>1463.2156350000002</v>
      </c>
      <c r="J9" s="64">
        <f>('COST_UPS SAVER'!J9*'COST_UPS SAVER (Allin)'!$D$3+'COST_UPS SAVER'!J9)*118%</f>
        <v>1459.4924399999998</v>
      </c>
      <c r="K9" s="64">
        <f>('COST_UPS SAVER'!K9*'COST_UPS SAVER (Allin)'!$D$3+'COST_UPS SAVER'!K9)*118%</f>
        <v>1498.5859874999996</v>
      </c>
      <c r="L9" s="64">
        <f>('COST_UPS SAVER'!L9*'COST_UPS SAVER (Allin)'!$D$3+'COST_UPS SAVER'!L9)*118%</f>
        <v>1682.8841399999997</v>
      </c>
      <c r="M9" s="64">
        <f>('COST_UPS SAVER'!M9*'COST_UPS SAVER (Allin)'!$D$3+'COST_UPS SAVER'!M9)*118%</f>
        <v>1710.8081024999999</v>
      </c>
      <c r="N9" s="64">
        <f>('COST_UPS SAVER'!N9*'COST_UPS SAVER (Allin)'!$D$3+'COST_UPS SAVER'!N9)*118%</f>
        <v>2096.1587849999996</v>
      </c>
      <c r="O9" s="64">
        <f>('COST_UPS SAVER'!O9*'COST_UPS SAVER (Allin)'!$D$3+'COST_UPS SAVER'!O9)*118%</f>
        <v>1883.9366699999996</v>
      </c>
      <c r="P9" s="64">
        <f>('COST_UPS SAVER'!P9*'COST_UPS SAVER (Allin)'!$D$3+'COST_UPS SAVER'!P9)*118%</f>
        <v>2183.6538675000002</v>
      </c>
      <c r="Q9" s="64">
        <f>('COST_UPS SAVER'!Q9*'COST_UPS SAVER (Allin)'!$D$3+'COST_UPS SAVER'!Q9)*118%</f>
        <v>2280.4569374999996</v>
      </c>
      <c r="R9" s="64">
        <f>('COST_UPS SAVER'!R9*'COST_UPS SAVER (Allin)'!$D$3+'COST_UPS SAVER'!R9)*118%</f>
        <v>2899.4381062499997</v>
      </c>
      <c r="S9" s="64">
        <f>('COST_UPS SAVER'!S9*'COST_UPS SAVER (Allin)'!$D$3+'COST_UPS SAVER'!S9)*118%</f>
        <v>2827.7666024999999</v>
      </c>
      <c r="T9" s="64">
        <f>('COST_UPS SAVER'!T9*'COST_UPS SAVER (Allin)'!$D$3+'COST_UPS SAVER'!T9)*118%</f>
        <v>2663.0152237499997</v>
      </c>
      <c r="U9" s="64">
        <f>('COST_UPS SAVER'!U9*'COST_UPS SAVER (Allin)'!$D$3+'COST_UPS SAVER'!U9)*118%</f>
        <v>1619.5898249999998</v>
      </c>
      <c r="V9" s="64">
        <f>('COST_UPS SAVER'!V9*'COST_UPS SAVER (Allin)'!$D$3+'COST_UPS SAVER'!V9)*118%</f>
        <v>2835.2129924999999</v>
      </c>
      <c r="W9" s="64">
        <f>('COST_UPS SAVER'!W9*'COST_UPS SAVER (Allin)'!$D$3+'COST_UPS SAVER'!W9)*118%</f>
        <v>4359.8613449999993</v>
      </c>
      <c r="X9" s="64">
        <f>('COST_UPS SAVER'!X9*'COST_UPS SAVER (Allin)'!$D$3+'COST_UPS SAVER'!X9)*118%</f>
        <v>3812.55168</v>
      </c>
      <c r="Y9" s="64">
        <f>('COST_UPS SAVER'!Y9*'COST_UPS SAVER (Allin)'!$D$3+'COST_UPS SAVER'!Y9)*118%</f>
        <v>4039.6665749999997</v>
      </c>
      <c r="Z9" s="64">
        <f>('COST_UPS SAVER'!Z9*'COST_UPS SAVER (Allin)'!$D$3+'COST_UPS SAVER'!Z9)*118%</f>
        <v>2631.3680662499996</v>
      </c>
      <c r="AA9" s="64">
        <f>('COST_UPS SAVER'!AA9*'COST_UPS SAVER (Allin)'!$D$3+'COST_UPS SAVER'!AA9)*118%</f>
        <v>2166.8994900000002</v>
      </c>
      <c r="AB9" s="64">
        <f>('COST_UPS SAVER'!AB9*'COST_UPS SAVER (Allin)'!$D$3+'COST_UPS SAVER'!AB9)*118%</f>
        <v>2216.2318237499999</v>
      </c>
      <c r="AC9" s="64">
        <f>('COST_UPS SAVER'!AC9*'COST_UPS SAVER (Allin)'!$D$3+'COST_UPS SAVER'!AC9)*118%</f>
        <v>2178.0690749999999</v>
      </c>
      <c r="AD9" s="64">
        <f>('COST_UPS SAVER'!AD9*'COST_UPS SAVER (Allin)'!$D$3+'COST_UPS SAVER'!AD9)*118%</f>
        <v>2945.9780437499994</v>
      </c>
      <c r="AE9" s="64">
        <f>('COST_UPS SAVER'!AE9*'COST_UPS SAVER (Allin)'!$D$3+'COST_UPS SAVER'!AE9)*118%</f>
        <v>2624.8524750000001</v>
      </c>
      <c r="AF9" s="64">
        <f>('COST_UPS SAVER'!AF9*'COST_UPS SAVER (Allin)'!$D$3+'COST_UPS SAVER'!AF9)*118%</f>
        <v>4371.0309299999999</v>
      </c>
      <c r="AG9" s="65">
        <f>('COST_UPS SAVER'!AG9*'COST_UPS SAVER (Allin)'!$D$3+'COST_UPS SAVER'!AG9)*118%</f>
        <v>4039.6665749999997</v>
      </c>
      <c r="AH9" s="52"/>
      <c r="AI9" s="22" t="s">
        <v>19</v>
      </c>
      <c r="AJ9" t="s">
        <v>79</v>
      </c>
      <c r="AK9" s="18"/>
      <c r="AL9" s="19"/>
      <c r="AM9" s="5"/>
      <c r="AN9" s="8"/>
      <c r="AO9" s="8"/>
      <c r="AP9" s="8"/>
      <c r="AQ9" s="5"/>
      <c r="AR9" s="1"/>
      <c r="AS9" s="1"/>
      <c r="AT9" s="1"/>
    </row>
    <row r="10" spans="1:46" x14ac:dyDescent="0.25">
      <c r="A10" s="27">
        <v>0.5</v>
      </c>
      <c r="B10" s="66">
        <f>('COST_UPS SAVER'!B10*'COST_UPS SAVER (Allin)'!$D$3+'COST_UPS SAVER'!B10)*118%</f>
        <v>2611.8212924999998</v>
      </c>
      <c r="C10" s="67">
        <f>('COST_UPS SAVER'!C10*'COST_UPS SAVER (Allin)'!$D$3+'COST_UPS SAVER'!C10)*118%</f>
        <v>2686.2851924999995</v>
      </c>
      <c r="D10" s="67">
        <f>('COST_UPS SAVER'!D10*'COST_UPS SAVER (Allin)'!$D$3+'COST_UPS SAVER'!D10)*118%</f>
        <v>2743.9947149999998</v>
      </c>
      <c r="E10" s="67">
        <f>('COST_UPS SAVER'!E10*'COST_UPS SAVER (Allin)'!$D$3+'COST_UPS SAVER'!E10)*118%</f>
        <v>1930.4766075</v>
      </c>
      <c r="F10" s="67">
        <f>('COST_UPS SAVER'!F10*'COST_UPS SAVER (Allin)'!$D$3+'COST_UPS SAVER'!F10)*118%</f>
        <v>2025.4180800000001</v>
      </c>
      <c r="G10" s="67">
        <f>('COST_UPS SAVER'!G10*'COST_UPS SAVER (Allin)'!$D$3+'COST_UPS SAVER'!G10)*118%</f>
        <v>2042.1724575000001</v>
      </c>
      <c r="H10" s="67">
        <f>('COST_UPS SAVER'!H10*'COST_UPS SAVER (Allin)'!$D$3+'COST_UPS SAVER'!H10)*118%</f>
        <v>1621.4514224999998</v>
      </c>
      <c r="I10" s="67">
        <f>('COST_UPS SAVER'!I10*'COST_UPS SAVER (Allin)'!$D$3+'COST_UPS SAVER'!I10)*118%</f>
        <v>1736.8704674999999</v>
      </c>
      <c r="J10" s="67">
        <f>('COST_UPS SAVER'!J10*'COST_UPS SAVER (Allin)'!$D$3+'COST_UPS SAVER'!J10)*118%</f>
        <v>1733.1472724999999</v>
      </c>
      <c r="K10" s="67">
        <f>('COST_UPS SAVER'!K10*'COST_UPS SAVER (Allin)'!$D$3+'COST_UPS SAVER'!K10)*118%</f>
        <v>1777.8256125</v>
      </c>
      <c r="L10" s="67">
        <f>('COST_UPS SAVER'!L10*'COST_UPS SAVER (Allin)'!$D$3+'COST_UPS SAVER'!L10)*118%</f>
        <v>1995.6325200000001</v>
      </c>
      <c r="M10" s="67">
        <f>('COST_UPS SAVER'!M10*'COST_UPS SAVER (Allin)'!$D$3+'COST_UPS SAVER'!M10)*118%</f>
        <v>2029.1412749999997</v>
      </c>
      <c r="N10" s="67">
        <f>('COST_UPS SAVER'!N10*'COST_UPS SAVER (Allin)'!$D$3+'COST_UPS SAVER'!N10)*118%</f>
        <v>2207.8546349999997</v>
      </c>
      <c r="O10" s="67">
        <f>('COST_UPS SAVER'!O10*'COST_UPS SAVER (Allin)'!$D$3+'COST_UPS SAVER'!O10)*118%</f>
        <v>2008.6637025</v>
      </c>
      <c r="P10" s="67">
        <f>('COST_UPS SAVER'!P10*'COST_UPS SAVER (Allin)'!$D$3+'COST_UPS SAVER'!P10)*118%</f>
        <v>2593.2053174999996</v>
      </c>
      <c r="Q10" s="67">
        <f>('COST_UPS SAVER'!Q10*'COST_UPS SAVER (Allin)'!$D$3+'COST_UPS SAVER'!Q10)*118%</f>
        <v>2773.7802750000001</v>
      </c>
      <c r="R10" s="67">
        <f>('COST_UPS SAVER'!R10*'COST_UPS SAVER (Allin)'!$D$3+'COST_UPS SAVER'!R10)*118%</f>
        <v>3305.26636125</v>
      </c>
      <c r="S10" s="67">
        <f>('COST_UPS SAVER'!S10*'COST_UPS SAVER (Allin)'!$D$3+'COST_UPS SAVER'!S10)*118%</f>
        <v>3200.0861024999999</v>
      </c>
      <c r="T10" s="67">
        <f>('COST_UPS SAVER'!T10*'COST_UPS SAVER (Allin)'!$D$3+'COST_UPS SAVER'!T10)*118%</f>
        <v>3902.83915875</v>
      </c>
      <c r="U10" s="67">
        <f>('COST_UPS SAVER'!U10*'COST_UPS SAVER (Allin)'!$D$3+'COST_UPS SAVER'!U10)*118%</f>
        <v>1803.8879775</v>
      </c>
      <c r="V10" s="67">
        <f>('COST_UPS SAVER'!V10*'COST_UPS SAVER (Allin)'!$D$3+'COST_UPS SAVER'!V10)*118%</f>
        <v>3864.6764100000005</v>
      </c>
      <c r="W10" s="67">
        <f>('COST_UPS SAVER'!W10*'COST_UPS SAVER (Allin)'!$D$3+'COST_UPS SAVER'!W10)*118%</f>
        <v>4830.8455125</v>
      </c>
      <c r="X10" s="67">
        <f>('COST_UPS SAVER'!X10*'COST_UPS SAVER (Allin)'!$D$3+'COST_UPS SAVER'!X10)*118%</f>
        <v>4810.3679400000001</v>
      </c>
      <c r="Y10" s="67">
        <f>('COST_UPS SAVER'!Y10*'COST_UPS SAVER (Allin)'!$D$3+'COST_UPS SAVER'!Y10)*118%</f>
        <v>5024.451652499999</v>
      </c>
      <c r="Z10" s="67">
        <f>('COST_UPS SAVER'!Z10*'COST_UPS SAVER (Allin)'!$D$3+'COST_UPS SAVER'!Z10)*118%</f>
        <v>3139.5841837499993</v>
      </c>
      <c r="AA10" s="67">
        <f>('COST_UPS SAVER'!AA10*'COST_UPS SAVER (Allin)'!$D$3+'COST_UPS SAVER'!AA10)*118%</f>
        <v>2675.1156074999999</v>
      </c>
      <c r="AB10" s="67">
        <f>('COST_UPS SAVER'!AB10*'COST_UPS SAVER (Allin)'!$D$3+'COST_UPS SAVER'!AB10)*118%</f>
        <v>2724.44794125</v>
      </c>
      <c r="AC10" s="67">
        <f>('COST_UPS SAVER'!AC10*'COST_UPS SAVER (Allin)'!$D$3+'COST_UPS SAVER'!AC10)*118%</f>
        <v>2686.2851924999995</v>
      </c>
      <c r="AD10" s="67">
        <f>('COST_UPS SAVER'!AD10*'COST_UPS SAVER (Allin)'!$D$3+'COST_UPS SAVER'!AD10)*118%</f>
        <v>3351.8062987500002</v>
      </c>
      <c r="AE10" s="67">
        <f>('COST_UPS SAVER'!AE10*'COST_UPS SAVER (Allin)'!$D$3+'COST_UPS SAVER'!AE10)*118%</f>
        <v>3864.6764100000005</v>
      </c>
      <c r="AF10" s="67">
        <f>('COST_UPS SAVER'!AF10*'COST_UPS SAVER (Allin)'!$D$3+'COST_UPS SAVER'!AF10)*118%</f>
        <v>4842.0150975000006</v>
      </c>
      <c r="AG10" s="68">
        <f>('COST_UPS SAVER'!AG10*'COST_UPS SAVER (Allin)'!$D$3+'COST_UPS SAVER'!AG10)*118%</f>
        <v>5024.451652499999</v>
      </c>
      <c r="AI10" s="22" t="s">
        <v>20</v>
      </c>
      <c r="AJ10" t="s">
        <v>80</v>
      </c>
      <c r="AK10" s="18"/>
      <c r="AL10" s="19"/>
      <c r="AM10" s="5"/>
      <c r="AN10" s="5"/>
      <c r="AO10" s="5"/>
      <c r="AP10" s="5"/>
      <c r="AQ10" s="5"/>
      <c r="AR10" s="1"/>
      <c r="AS10" s="1"/>
      <c r="AT10" s="1"/>
    </row>
    <row r="11" spans="1:46" x14ac:dyDescent="0.25">
      <c r="A11" s="27">
        <v>1</v>
      </c>
      <c r="B11" s="66">
        <f>('COST_UPS SAVER'!B11*'COST_UPS SAVER (Allin)'!$D$3+'COST_UPS SAVER'!B11)*118%</f>
        <v>2999.0335725</v>
      </c>
      <c r="C11" s="67">
        <f>('COST_UPS SAVER'!C11*'COST_UPS SAVER (Allin)'!$D$3+'COST_UPS SAVER'!C11)*118%</f>
        <v>3105.1446300000002</v>
      </c>
      <c r="D11" s="67">
        <f>('COST_UPS SAVER'!D11*'COST_UPS SAVER (Allin)'!$D$3+'COST_UPS SAVER'!D11)*118%</f>
        <v>3181.4701274999998</v>
      </c>
      <c r="E11" s="67">
        <f>('COST_UPS SAVER'!E11*'COST_UPS SAVER (Allin)'!$D$3+'COST_UPS SAVER'!E11)*118%</f>
        <v>2580.1741349999998</v>
      </c>
      <c r="F11" s="67">
        <f>('COST_UPS SAVER'!F11*'COST_UPS SAVER (Allin)'!$D$3+'COST_UPS SAVER'!F11)*118%</f>
        <v>2669.5308149999996</v>
      </c>
      <c r="G11" s="67">
        <f>('COST_UPS SAVER'!G11*'COST_UPS SAVER (Allin)'!$D$3+'COST_UPS SAVER'!G11)*118%</f>
        <v>2691.8699849999998</v>
      </c>
      <c r="H11" s="67">
        <f>('COST_UPS SAVER'!H11*'COST_UPS SAVER (Allin)'!$D$3+'COST_UPS SAVER'!H11)*118%</f>
        <v>1941.6461925000001</v>
      </c>
      <c r="I11" s="67">
        <f>('COST_UPS SAVER'!I11*'COST_UPS SAVER (Allin)'!$D$3+'COST_UPS SAVER'!I11)*118%</f>
        <v>2077.5428099999999</v>
      </c>
      <c r="J11" s="67">
        <f>('COST_UPS SAVER'!J11*'COST_UPS SAVER (Allin)'!$D$3+'COST_UPS SAVER'!J11)*118%</f>
        <v>2070.0964200000003</v>
      </c>
      <c r="K11" s="67">
        <f>('COST_UPS SAVER'!K11*'COST_UPS SAVER (Allin)'!$D$3+'COST_UPS SAVER'!K11)*118%</f>
        <v>2125.9443449999999</v>
      </c>
      <c r="L11" s="67">
        <f>('COST_UPS SAVER'!L11*'COST_UPS SAVER (Allin)'!$D$3+'COST_UPS SAVER'!L11)*118%</f>
        <v>2384.7063975000001</v>
      </c>
      <c r="M11" s="67">
        <f>('COST_UPS SAVER'!M11*'COST_UPS SAVER (Allin)'!$D$3+'COST_UPS SAVER'!M11)*118%</f>
        <v>2423.7999450000002</v>
      </c>
      <c r="N11" s="67">
        <f>('COST_UPS SAVER'!N11*'COST_UPS SAVER (Allin)'!$D$3+'COST_UPS SAVER'!N11)*118%</f>
        <v>2703.0395700000004</v>
      </c>
      <c r="O11" s="67">
        <f>('COST_UPS SAVER'!O11*'COST_UPS SAVER (Allin)'!$D$3+'COST_UPS SAVER'!O11)*118%</f>
        <v>2542.9421850000003</v>
      </c>
      <c r="P11" s="67">
        <f>('COST_UPS SAVER'!P11*'COST_UPS SAVER (Allin)'!$D$3+'COST_UPS SAVER'!P11)*118%</f>
        <v>2745.8563124999996</v>
      </c>
      <c r="Q11" s="67">
        <f>('COST_UPS SAVER'!Q11*'COST_UPS SAVER (Allin)'!$D$3+'COST_UPS SAVER'!Q11)*118%</f>
        <v>2987.8639874999994</v>
      </c>
      <c r="R11" s="67">
        <f>('COST_UPS SAVER'!R11*'COST_UPS SAVER (Allin)'!$D$3+'COST_UPS SAVER'!R11)*118%</f>
        <v>4013.6042100000004</v>
      </c>
      <c r="S11" s="67">
        <f>('COST_UPS SAVER'!S11*'COST_UPS SAVER (Allin)'!$D$3+'COST_UPS SAVER'!S11)*118%</f>
        <v>3773.4581324999999</v>
      </c>
      <c r="T11" s="67">
        <f>('COST_UPS SAVER'!T11*'COST_UPS SAVER (Allin)'!$D$3+'COST_UPS SAVER'!T11)*118%</f>
        <v>4810.3679400000001</v>
      </c>
      <c r="U11" s="67">
        <f>('COST_UPS SAVER'!U11*'COST_UPS SAVER (Allin)'!$D$3+'COST_UPS SAVER'!U11)*118%</f>
        <v>2140.837125</v>
      </c>
      <c r="V11" s="67">
        <f>('COST_UPS SAVER'!V11*'COST_UPS SAVER (Allin)'!$D$3+'COST_UPS SAVER'!V11)*118%</f>
        <v>4490.17317</v>
      </c>
      <c r="W11" s="67">
        <f>('COST_UPS SAVER'!W11*'COST_UPS SAVER (Allin)'!$D$3+'COST_UPS SAVER'!W11)*118%</f>
        <v>5581.0693049999991</v>
      </c>
      <c r="X11" s="67">
        <f>('COST_UPS SAVER'!X11*'COST_UPS SAVER (Allin)'!$D$3+'COST_UPS SAVER'!X11)*118%</f>
        <v>5571.7613174999997</v>
      </c>
      <c r="Y11" s="67">
        <f>('COST_UPS SAVER'!Y11*'COST_UPS SAVER (Allin)'!$D$3+'COST_UPS SAVER'!Y11)*118%</f>
        <v>5810.0457974999999</v>
      </c>
      <c r="Z11" s="67">
        <f>('COST_UPS SAVER'!Z11*'COST_UPS SAVER (Allin)'!$D$3+'COST_UPS SAVER'!Z11)*118%</f>
        <v>3730.6413900000002</v>
      </c>
      <c r="AA11" s="67">
        <f>('COST_UPS SAVER'!AA11*'COST_UPS SAVER (Allin)'!$D$3+'COST_UPS SAVER'!AA11)*118%</f>
        <v>3088.3902524999999</v>
      </c>
      <c r="AB11" s="67">
        <f>('COST_UPS SAVER'!AB11*'COST_UPS SAVER (Allin)'!$D$3+'COST_UPS SAVER'!AB11)*118%</f>
        <v>3187.05492</v>
      </c>
      <c r="AC11" s="67">
        <f>('COST_UPS SAVER'!AC11*'COST_UPS SAVER (Allin)'!$D$3+'COST_UPS SAVER'!AC11)*118%</f>
        <v>3110.7294225000001</v>
      </c>
      <c r="AD11" s="67">
        <f>('COST_UPS SAVER'!AD11*'COST_UPS SAVER (Allin)'!$D$3+'COST_UPS SAVER'!AD11)*118%</f>
        <v>4069.452135</v>
      </c>
      <c r="AE11" s="67">
        <f>('COST_UPS SAVER'!AE11*'COST_UPS SAVER (Allin)'!$D$3+'COST_UPS SAVER'!AE11)*118%</f>
        <v>4696.8104924999989</v>
      </c>
      <c r="AF11" s="67">
        <f>('COST_UPS SAVER'!AF11*'COST_UPS SAVER (Allin)'!$D$3+'COST_UPS SAVER'!AF11)*118%</f>
        <v>5566.1765249999999</v>
      </c>
      <c r="AG11" s="68">
        <f>('COST_UPS SAVER'!AG11*'COST_UPS SAVER (Allin)'!$D$3+'COST_UPS SAVER'!AG11)*118%</f>
        <v>5772.8138475000005</v>
      </c>
      <c r="AI11" s="22" t="s">
        <v>21</v>
      </c>
      <c r="AJ11" t="s">
        <v>81</v>
      </c>
      <c r="AK11" s="18"/>
      <c r="AL11" s="19"/>
      <c r="AM11" s="5"/>
      <c r="AN11" s="5"/>
      <c r="AO11" s="5"/>
      <c r="AP11" s="5"/>
      <c r="AQ11" s="5"/>
      <c r="AR11" s="1"/>
      <c r="AS11" s="1"/>
      <c r="AT11" s="1"/>
    </row>
    <row r="12" spans="1:46" x14ac:dyDescent="0.25">
      <c r="A12" s="27">
        <v>1.5</v>
      </c>
      <c r="B12" s="66">
        <f>('COST_UPS SAVER'!B12*'COST_UPS SAVER (Allin)'!$D$3+'COST_UPS SAVER'!B12)*118%</f>
        <v>3470.0177400000002</v>
      </c>
      <c r="C12" s="67">
        <f>('COST_UPS SAVER'!C12*'COST_UPS SAVER (Allin)'!$D$3+'COST_UPS SAVER'!C12)*118%</f>
        <v>3611.4991499999996</v>
      </c>
      <c r="D12" s="67">
        <f>('COST_UPS SAVER'!D12*'COST_UPS SAVER (Allin)'!$D$3+'COST_UPS SAVER'!D12)*118%</f>
        <v>3706.4406224999998</v>
      </c>
      <c r="E12" s="67">
        <f>('COST_UPS SAVER'!E12*'COST_UPS SAVER (Allin)'!$D$3+'COST_UPS SAVER'!E12)*118%</f>
        <v>3021.3727425000002</v>
      </c>
      <c r="F12" s="67">
        <f>('COST_UPS SAVER'!F12*'COST_UPS SAVER (Allin)'!$D$3+'COST_UPS SAVER'!F12)*118%</f>
        <v>3123.7606049999999</v>
      </c>
      <c r="G12" s="67">
        <f>('COST_UPS SAVER'!G12*'COST_UPS SAVER (Allin)'!$D$3+'COST_UPS SAVER'!G12)*118%</f>
        <v>3149.8229699999993</v>
      </c>
      <c r="H12" s="67">
        <f>('COST_UPS SAVER'!H12*'COST_UPS SAVER (Allin)'!$D$3+'COST_UPS SAVER'!H12)*118%</f>
        <v>2313.9656924999999</v>
      </c>
      <c r="I12" s="67">
        <f>('COST_UPS SAVER'!I12*'COST_UPS SAVER (Allin)'!$D$3+'COST_UPS SAVER'!I12)*118%</f>
        <v>2470.3398825000004</v>
      </c>
      <c r="J12" s="67">
        <f>('COST_UPS SAVER'!J12*'COST_UPS SAVER (Allin)'!$D$3+'COST_UPS SAVER'!J12)*118%</f>
        <v>2462.8934924999999</v>
      </c>
      <c r="K12" s="67">
        <f>('COST_UPS SAVER'!K12*'COST_UPS SAVER (Allin)'!$D$3+'COST_UPS SAVER'!K12)*118%</f>
        <v>2569.0045499999992</v>
      </c>
      <c r="L12" s="67">
        <f>('COST_UPS SAVER'!L12*'COST_UPS SAVER (Allin)'!$D$3+'COST_UPS SAVER'!L12)*118%</f>
        <v>2827.7666024999999</v>
      </c>
      <c r="M12" s="67">
        <f>('COST_UPS SAVER'!M12*'COST_UPS SAVER (Allin)'!$D$3+'COST_UPS SAVER'!M12)*118%</f>
        <v>2872.4449425000003</v>
      </c>
      <c r="N12" s="67">
        <f>('COST_UPS SAVER'!N12*'COST_UPS SAVER (Allin)'!$D$3+'COST_UPS SAVER'!N12)*118%</f>
        <v>3241.0412474999998</v>
      </c>
      <c r="O12" s="67">
        <f>('COST_UPS SAVER'!O12*'COST_UPS SAVER (Allin)'!$D$3+'COST_UPS SAVER'!O12)*118%</f>
        <v>3038.1271200000001</v>
      </c>
      <c r="P12" s="67">
        <f>('COST_UPS SAVER'!P12*'COST_UPS SAVER (Allin)'!$D$3+'COST_UPS SAVER'!P12)*118%</f>
        <v>3285.7195874999993</v>
      </c>
      <c r="Q12" s="67">
        <f>('COST_UPS SAVER'!Q12*'COST_UPS SAVER (Allin)'!$D$3+'COST_UPS SAVER'!Q12)*118%</f>
        <v>3568.6824075</v>
      </c>
      <c r="R12" s="67">
        <f>('COST_UPS SAVER'!R12*'COST_UPS SAVER (Allin)'!$D$3+'COST_UPS SAVER'!R12)*118%</f>
        <v>5107.2927412499994</v>
      </c>
      <c r="S12" s="67">
        <f>('COST_UPS SAVER'!S12*'COST_UPS SAVER (Allin)'!$D$3+'COST_UPS SAVER'!S12)*118%</f>
        <v>4395.2316974999994</v>
      </c>
      <c r="T12" s="67">
        <f>('COST_UPS SAVER'!T12*'COST_UPS SAVER (Allin)'!$D$3+'COST_UPS SAVER'!T12)*118%</f>
        <v>5764.436658749999</v>
      </c>
      <c r="U12" s="67">
        <f>('COST_UPS SAVER'!U12*'COST_UPS SAVER (Allin)'!$D$3+'COST_UPS SAVER'!U12)*118%</f>
        <v>2691.8699849999998</v>
      </c>
      <c r="V12" s="67">
        <f>('COST_UPS SAVER'!V12*'COST_UPS SAVER (Allin)'!$D$3+'COST_UPS SAVER'!V12)*118%</f>
        <v>5203.1650124999996</v>
      </c>
      <c r="W12" s="67">
        <f>('COST_UPS SAVER'!W12*'COST_UPS SAVER (Allin)'!$D$3+'COST_UPS SAVER'!W12)*118%</f>
        <v>6415.064985</v>
      </c>
      <c r="X12" s="67">
        <f>('COST_UPS SAVER'!X12*'COST_UPS SAVER (Allin)'!$D$3+'COST_UPS SAVER'!X12)*118%</f>
        <v>6411.3417900000013</v>
      </c>
      <c r="Y12" s="67">
        <f>('COST_UPS SAVER'!Y12*'COST_UPS SAVER (Allin)'!$D$3+'COST_UPS SAVER'!Y12)*118%</f>
        <v>6692.443012499999</v>
      </c>
      <c r="Z12" s="67">
        <f>('COST_UPS SAVER'!Z12*'COST_UPS SAVER (Allin)'!$D$3+'COST_UPS SAVER'!Z12)*118%</f>
        <v>4729.38844875</v>
      </c>
      <c r="AA12" s="67">
        <f>('COST_UPS SAVER'!AA12*'COST_UPS SAVER (Allin)'!$D$3+'COST_UPS SAVER'!AA12)*118%</f>
        <v>3622.6687349999997</v>
      </c>
      <c r="AB12" s="67">
        <f>('COST_UPS SAVER'!AB12*'COST_UPS SAVER (Allin)'!$D$3+'COST_UPS SAVER'!AB12)*118%</f>
        <v>3770.6657362500009</v>
      </c>
      <c r="AC12" s="67">
        <f>('COST_UPS SAVER'!AC12*'COST_UPS SAVER (Allin)'!$D$3+'COST_UPS SAVER'!AC12)*118%</f>
        <v>3656.17749</v>
      </c>
      <c r="AD12" s="67">
        <f>('COST_UPS SAVER'!AD12*'COST_UPS SAVER (Allin)'!$D$3+'COST_UPS SAVER'!AD12)*118%</f>
        <v>5209.6806037499991</v>
      </c>
      <c r="AE12" s="67">
        <f>('COST_UPS SAVER'!AE12*'COST_UPS SAVER (Allin)'!$D$3+'COST_UPS SAVER'!AE12)*118%</f>
        <v>5612.7164625000005</v>
      </c>
      <c r="AF12" s="67">
        <f>('COST_UPS SAVER'!AF12*'COST_UPS SAVER (Allin)'!$D$3+'COST_UPS SAVER'!AF12)*118%</f>
        <v>6411.3417900000013</v>
      </c>
      <c r="AG12" s="68">
        <f>('COST_UPS SAVER'!AG12*'COST_UPS SAVER (Allin)'!$D$3+'COST_UPS SAVER'!AG12)*118%</f>
        <v>6655.2110624999996</v>
      </c>
      <c r="AI12" s="22" t="s">
        <v>22</v>
      </c>
      <c r="AJ12" t="s">
        <v>82</v>
      </c>
      <c r="AK12" s="18"/>
      <c r="AL12" s="19"/>
      <c r="AM12" s="5"/>
      <c r="AN12" s="5"/>
      <c r="AO12" s="5"/>
      <c r="AP12" s="5"/>
      <c r="AQ12" s="5"/>
      <c r="AR12" s="1"/>
      <c r="AS12" s="1"/>
      <c r="AT12" s="1"/>
    </row>
    <row r="13" spans="1:46" x14ac:dyDescent="0.25">
      <c r="A13" s="27">
        <v>2</v>
      </c>
      <c r="B13" s="66">
        <f>('COST_UPS SAVER'!B13*'COST_UPS SAVER (Allin)'!$D$3+'COST_UPS SAVER'!B13)*118%</f>
        <v>3868.3996050000001</v>
      </c>
      <c r="C13" s="67">
        <f>('COST_UPS SAVER'!C13*'COST_UPS SAVER (Allin)'!$D$3+'COST_UPS SAVER'!C13)*118%</f>
        <v>4043.3897699999993</v>
      </c>
      <c r="D13" s="67">
        <f>('COST_UPS SAVER'!D13*'COST_UPS SAVER (Allin)'!$D$3+'COST_UPS SAVER'!D13)*118%</f>
        <v>4156.9472175000001</v>
      </c>
      <c r="E13" s="67">
        <f>('COST_UPS SAVER'!E13*'COST_UPS SAVER (Allin)'!$D$3+'COST_UPS SAVER'!E13)*118%</f>
        <v>3406.7234249999997</v>
      </c>
      <c r="F13" s="67">
        <f>('COST_UPS SAVER'!F13*'COST_UPS SAVER (Allin)'!$D$3+'COST_UPS SAVER'!F13)*118%</f>
        <v>3462.5713499999993</v>
      </c>
      <c r="G13" s="67">
        <f>('COST_UPS SAVER'!G13*'COST_UPS SAVER (Allin)'!$D$3+'COST_UPS SAVER'!G13)*118%</f>
        <v>3462.5713499999993</v>
      </c>
      <c r="H13" s="67">
        <f>('COST_UPS SAVER'!H13*'COST_UPS SAVER (Allin)'!$D$3+'COST_UPS SAVER'!H13)*118%</f>
        <v>2503.8486374999998</v>
      </c>
      <c r="I13" s="67">
        <f>('COST_UPS SAVER'!I13*'COST_UPS SAVER (Allin)'!$D$3+'COST_UPS SAVER'!I13)*118%</f>
        <v>2662.0844249999996</v>
      </c>
      <c r="J13" s="67">
        <f>('COST_UPS SAVER'!J13*'COST_UPS SAVER (Allin)'!$D$3+'COST_UPS SAVER'!J13)*118%</f>
        <v>2654.6380349999995</v>
      </c>
      <c r="K13" s="67">
        <f>('COST_UPS SAVER'!K13*'COST_UPS SAVER (Allin)'!$D$3+'COST_UPS SAVER'!K13)*118%</f>
        <v>2766.3338849999996</v>
      </c>
      <c r="L13" s="67">
        <f>('COST_UPS SAVER'!L13*'COST_UPS SAVER (Allin)'!$D$3+'COST_UPS SAVER'!L13)*118%</f>
        <v>3047.4351075</v>
      </c>
      <c r="M13" s="67">
        <f>('COST_UPS SAVER'!M13*'COST_UPS SAVER (Allin)'!$D$3+'COST_UPS SAVER'!M13)*118%</f>
        <v>3095.8366424999999</v>
      </c>
      <c r="N13" s="67">
        <f>('COST_UPS SAVER'!N13*'COST_UPS SAVER (Allin)'!$D$3+'COST_UPS SAVER'!N13)*118%</f>
        <v>3525.8656649999998</v>
      </c>
      <c r="O13" s="67">
        <f>('COST_UPS SAVER'!O13*'COST_UPS SAVER (Allin)'!$D$3+'COST_UPS SAVER'!O13)*118%</f>
        <v>3289.4427824999993</v>
      </c>
      <c r="P13" s="67">
        <f>('COST_UPS SAVER'!P13*'COST_UPS SAVER (Allin)'!$D$3+'COST_UPS SAVER'!P13)*118%</f>
        <v>3691.5478424999988</v>
      </c>
      <c r="Q13" s="67">
        <f>('COST_UPS SAVER'!Q13*'COST_UPS SAVER (Allin)'!$D$3+'COST_UPS SAVER'!Q13)*118%</f>
        <v>3862.8148124999993</v>
      </c>
      <c r="R13" s="67">
        <f>('COST_UPS SAVER'!R13*'COST_UPS SAVER (Allin)'!$D$3+'COST_UPS SAVER'!R13)*118%</f>
        <v>5610.8548650000002</v>
      </c>
      <c r="S13" s="67">
        <f>('COST_UPS SAVER'!S13*'COST_UPS SAVER (Allin)'!$D$3+'COST_UPS SAVER'!S13)*118%</f>
        <v>4715.4264675000004</v>
      </c>
      <c r="T13" s="67">
        <f>('COST_UPS SAVER'!T13*'COST_UPS SAVER (Allin)'!$D$3+'COST_UPS SAVER'!T13)*118%</f>
        <v>6359.217059999999</v>
      </c>
      <c r="U13" s="67">
        <f>('COST_UPS SAVER'!U13*'COST_UPS SAVER (Allin)'!$D$3+'COST_UPS SAVER'!U13)*118%</f>
        <v>2898.5073075</v>
      </c>
      <c r="V13" s="67">
        <f>('COST_UPS SAVER'!V13*'COST_UPS SAVER (Allin)'!$D$3+'COST_UPS SAVER'!V13)*118%</f>
        <v>5538.2525624999998</v>
      </c>
      <c r="W13" s="67">
        <f>('COST_UPS SAVER'!W13*'COST_UPS SAVER (Allin)'!$D$3+'COST_UPS SAVER'!W13)*118%</f>
        <v>6806.0004600000002</v>
      </c>
      <c r="X13" s="67">
        <f>('COST_UPS SAVER'!X13*'COST_UPS SAVER (Allin)'!$D$3+'COST_UPS SAVER'!X13)*118%</f>
        <v>7176.4583624999987</v>
      </c>
      <c r="Y13" s="67">
        <f>('COST_UPS SAVER'!Y13*'COST_UPS SAVER (Allin)'!$D$3+'COST_UPS SAVER'!Y13)*118%</f>
        <v>7500.3763274999983</v>
      </c>
      <c r="Z13" s="67">
        <f>('COST_UPS SAVER'!Z13*'COST_UPS SAVER (Allin)'!$D$3+'COST_UPS SAVER'!Z13)*118%</f>
        <v>5331.6152400000001</v>
      </c>
      <c r="AA13" s="67">
        <f>('COST_UPS SAVER'!AA13*'COST_UPS SAVER (Allin)'!$D$3+'COST_UPS SAVER'!AA13)*118%</f>
        <v>4047.1129650000003</v>
      </c>
      <c r="AB13" s="67">
        <f>('COST_UPS SAVER'!AB13*'COST_UPS SAVER (Allin)'!$D$3+'COST_UPS SAVER'!AB13)*118%</f>
        <v>4244.4422999999997</v>
      </c>
      <c r="AC13" s="67">
        <f>('COST_UPS SAVER'!AC13*'COST_UPS SAVER (Allin)'!$D$3+'COST_UPS SAVER'!AC13)*118%</f>
        <v>4091.7913049999997</v>
      </c>
      <c r="AD13" s="67">
        <f>('COST_UPS SAVER'!AD13*'COST_UPS SAVER (Allin)'!$D$3+'COST_UPS SAVER'!AD13)*118%</f>
        <v>5722.5507149999994</v>
      </c>
      <c r="AE13" s="67">
        <f>('COST_UPS SAVER'!AE13*'COST_UPS SAVER (Allin)'!$D$3+'COST_UPS SAVER'!AE13)*118%</f>
        <v>6132.1021650000012</v>
      </c>
      <c r="AF13" s="67">
        <f>('COST_UPS SAVER'!AF13*'COST_UPS SAVER (Allin)'!$D$3+'COST_UPS SAVER'!AF13)*118%</f>
        <v>6776.2148999999999</v>
      </c>
      <c r="AG13" s="68">
        <f>('COST_UPS SAVER'!AG13*'COST_UPS SAVER (Allin)'!$D$3+'COST_UPS SAVER'!AG13)*118%</f>
        <v>7425.9124274999986</v>
      </c>
      <c r="AI13" s="22" t="s">
        <v>83</v>
      </c>
      <c r="AJ13" t="s">
        <v>84</v>
      </c>
      <c r="AK13" s="18"/>
      <c r="AL13" s="19"/>
      <c r="AM13" s="5"/>
      <c r="AN13" s="5"/>
      <c r="AO13" s="5"/>
      <c r="AP13" s="5"/>
      <c r="AQ13" s="5"/>
      <c r="AR13" s="1"/>
      <c r="AS13" s="1"/>
      <c r="AT13" s="1"/>
    </row>
    <row r="14" spans="1:46" x14ac:dyDescent="0.25">
      <c r="A14" s="27">
        <v>2.5</v>
      </c>
      <c r="B14" s="66">
        <f>('COST_UPS SAVER'!B14*'COST_UPS SAVER (Allin)'!$D$3+'COST_UPS SAVER'!B14)*118%</f>
        <v>4341.2453699999996</v>
      </c>
      <c r="C14" s="67">
        <f>('COST_UPS SAVER'!C14*'COST_UPS SAVER (Allin)'!$D$3+'COST_UPS SAVER'!C14)*118%</f>
        <v>4547.8826925000003</v>
      </c>
      <c r="D14" s="67">
        <f>('COST_UPS SAVER'!D14*'COST_UPS SAVER (Allin)'!$D$3+'COST_UPS SAVER'!D14)*118%</f>
        <v>4680.0561150000003</v>
      </c>
      <c r="E14" s="67">
        <f>('COST_UPS SAVER'!E14*'COST_UPS SAVER (Allin)'!$D$3+'COST_UPS SAVER'!E14)*118%</f>
        <v>4155.0856199999998</v>
      </c>
      <c r="F14" s="67">
        <f>('COST_UPS SAVER'!F14*'COST_UPS SAVER (Allin)'!$D$3+'COST_UPS SAVER'!F14)*118%</f>
        <v>4222.1031299999995</v>
      </c>
      <c r="G14" s="67">
        <f>('COST_UPS SAVER'!G14*'COST_UPS SAVER (Allin)'!$D$3+'COST_UPS SAVER'!G14)*118%</f>
        <v>4222.1031299999995</v>
      </c>
      <c r="H14" s="67">
        <f>('COST_UPS SAVER'!H14*'COST_UPS SAVER (Allin)'!$D$3+'COST_UPS SAVER'!H14)*118%</f>
        <v>2874.30654</v>
      </c>
      <c r="I14" s="67">
        <f>('COST_UPS SAVER'!I14*'COST_UPS SAVER (Allin)'!$D$3+'COST_UPS SAVER'!I14)*118%</f>
        <v>3039.9887174999994</v>
      </c>
      <c r="J14" s="67">
        <f>('COST_UPS SAVER'!J14*'COST_UPS SAVER (Allin)'!$D$3+'COST_UPS SAVER'!J14)*118%</f>
        <v>3056.7430949999994</v>
      </c>
      <c r="K14" s="67">
        <f>('COST_UPS SAVER'!K14*'COST_UPS SAVER (Allin)'!$D$3+'COST_UPS SAVER'!K14)*118%</f>
        <v>3157.2693599999998</v>
      </c>
      <c r="L14" s="67">
        <f>('COST_UPS SAVER'!L14*'COST_UPS SAVER (Allin)'!$D$3+'COST_UPS SAVER'!L14)*118%</f>
        <v>3471.8793374999996</v>
      </c>
      <c r="M14" s="67">
        <f>('COST_UPS SAVER'!M14*'COST_UPS SAVER (Allin)'!$D$3+'COST_UPS SAVER'!M14)*118%</f>
        <v>3527.7272624999996</v>
      </c>
      <c r="N14" s="67">
        <f>('COST_UPS SAVER'!N14*'COST_UPS SAVER (Allin)'!$D$3+'COST_UPS SAVER'!N14)*118%</f>
        <v>4039.6665749999997</v>
      </c>
      <c r="O14" s="67">
        <f>('COST_UPS SAVER'!O14*'COST_UPS SAVER (Allin)'!$D$3+'COST_UPS SAVER'!O14)*118%</f>
        <v>3760.4269499999996</v>
      </c>
      <c r="P14" s="67">
        <f>('COST_UPS SAVER'!P14*'COST_UPS SAVER (Allin)'!$D$3+'COST_UPS SAVER'!P14)*118%</f>
        <v>4305.8750174999996</v>
      </c>
      <c r="Q14" s="67">
        <f>('COST_UPS SAVER'!Q14*'COST_UPS SAVER (Allin)'!$D$3+'COST_UPS SAVER'!Q14)*118%</f>
        <v>4425.0172574999997</v>
      </c>
      <c r="R14" s="67">
        <f>('COST_UPS SAVER'!R14*'COST_UPS SAVER (Allin)'!$D$3+'COST_UPS SAVER'!R14)*118%</f>
        <v>6410.4109912499998</v>
      </c>
      <c r="S14" s="67">
        <f>('COST_UPS SAVER'!S14*'COST_UPS SAVER (Allin)'!$D$3+'COST_UPS SAVER'!S14)*118%</f>
        <v>5327.8920450000014</v>
      </c>
      <c r="T14" s="67">
        <f>('COST_UPS SAVER'!T14*'COST_UPS SAVER (Allin)'!$D$3+'COST_UPS SAVER'!T14)*118%</f>
        <v>7302.1161937499992</v>
      </c>
      <c r="U14" s="67">
        <f>('COST_UPS SAVER'!U14*'COST_UPS SAVER (Allin)'!$D$3+'COST_UPS SAVER'!U14)*118%</f>
        <v>3311.7819524999995</v>
      </c>
      <c r="V14" s="67">
        <f>('COST_UPS SAVER'!V14*'COST_UPS SAVER (Allin)'!$D$3+'COST_UPS SAVER'!V14)*118%</f>
        <v>6215.8740524999994</v>
      </c>
      <c r="W14" s="67">
        <f>('COST_UPS SAVER'!W14*'COST_UPS SAVER (Allin)'!$D$3+'COST_UPS SAVER'!W14)*118%</f>
        <v>7599.0409950000003</v>
      </c>
      <c r="X14" s="67">
        <f>('COST_UPS SAVER'!X14*'COST_UPS SAVER (Allin)'!$D$3+'COST_UPS SAVER'!X14)*118%</f>
        <v>8014.1772374999991</v>
      </c>
      <c r="Y14" s="67">
        <f>('COST_UPS SAVER'!Y14*'COST_UPS SAVER (Allin)'!$D$3+'COST_UPS SAVER'!Y14)*118%</f>
        <v>8382.773542500001</v>
      </c>
      <c r="Z14" s="67">
        <f>('COST_UPS SAVER'!Z14*'COST_UPS SAVER (Allin)'!$D$3+'COST_UPS SAVER'!Z14)*118%</f>
        <v>6332.2238962499996</v>
      </c>
      <c r="AA14" s="67">
        <f>('COST_UPS SAVER'!AA14*'COST_UPS SAVER (Allin)'!$D$3+'COST_UPS SAVER'!AA14)*118%</f>
        <v>4583.2530449999995</v>
      </c>
      <c r="AB14" s="67">
        <f>('COST_UPS SAVER'!AB14*'COST_UPS SAVER (Allin)'!$D$3+'COST_UPS SAVER'!AB14)*118%</f>
        <v>4829.9147137499995</v>
      </c>
      <c r="AC14" s="67">
        <f>('COST_UPS SAVER'!AC14*'COST_UPS SAVER (Allin)'!$D$3+'COST_UPS SAVER'!AC14)*118%</f>
        <v>4639.1009699999986</v>
      </c>
      <c r="AD14" s="67">
        <f>('COST_UPS SAVER'!AD14*'COST_UPS SAVER (Allin)'!$D$3+'COST_UPS SAVER'!AD14)*118%</f>
        <v>6568.6467787499996</v>
      </c>
      <c r="AE14" s="67">
        <f>('COST_UPS SAVER'!AE14*'COST_UPS SAVER (Allin)'!$D$3+'COST_UPS SAVER'!AE14)*118%</f>
        <v>7036.8385499999986</v>
      </c>
      <c r="AF14" s="67">
        <f>('COST_UPS SAVER'!AF14*'COST_UPS SAVER (Allin)'!$D$3+'COST_UPS SAVER'!AF14)*118%</f>
        <v>7580.4250199999997</v>
      </c>
      <c r="AG14" s="68">
        <f>('COST_UPS SAVER'!AG14*'COST_UPS SAVER (Allin)'!$D$3+'COST_UPS SAVER'!AG14)*118%</f>
        <v>8308.3096425000003</v>
      </c>
      <c r="AI14" s="22" t="s">
        <v>23</v>
      </c>
      <c r="AJ14" t="s">
        <v>85</v>
      </c>
      <c r="AK14" s="18"/>
      <c r="AL14" s="19"/>
      <c r="AM14" s="5"/>
      <c r="AN14" s="5"/>
      <c r="AO14" s="5"/>
      <c r="AP14" s="5"/>
      <c r="AQ14" s="5"/>
      <c r="AR14" s="1"/>
      <c r="AS14" s="1"/>
      <c r="AT14" s="1"/>
    </row>
    <row r="15" spans="1:46" x14ac:dyDescent="0.25">
      <c r="A15" s="27">
        <v>3</v>
      </c>
      <c r="B15" s="66">
        <f>('COST_UPS SAVER'!B15*'COST_UPS SAVER (Allin)'!$D$3+'COST_UPS SAVER'!B15)*118%</f>
        <v>4739.6272349999999</v>
      </c>
      <c r="C15" s="67">
        <f>('COST_UPS SAVER'!C15*'COST_UPS SAVER (Allin)'!$D$3+'COST_UPS SAVER'!C15)*118%</f>
        <v>4979.7733124999995</v>
      </c>
      <c r="D15" s="67">
        <f>('COST_UPS SAVER'!D15*'COST_UPS SAVER (Allin)'!$D$3+'COST_UPS SAVER'!D15)*118%</f>
        <v>5132.4243074999986</v>
      </c>
      <c r="E15" s="67">
        <f>('COST_UPS SAVER'!E15*'COST_UPS SAVER (Allin)'!$D$3+'COST_UPS SAVER'!E15)*118%</f>
        <v>4544.1594974999998</v>
      </c>
      <c r="F15" s="67">
        <f>('COST_UPS SAVER'!F15*'COST_UPS SAVER (Allin)'!$D$3+'COST_UPS SAVER'!F15)*118%</f>
        <v>4620.4849949999998</v>
      </c>
      <c r="G15" s="67">
        <f>('COST_UPS SAVER'!G15*'COST_UPS SAVER (Allin)'!$D$3+'COST_UPS SAVER'!G15)*118%</f>
        <v>4620.4849949999998</v>
      </c>
      <c r="H15" s="67">
        <f>('COST_UPS SAVER'!H15*'COST_UPS SAVER (Allin)'!$D$3+'COST_UPS SAVER'!H15)*118%</f>
        <v>3118.1758124999997</v>
      </c>
      <c r="I15" s="67">
        <f>('COST_UPS SAVER'!I15*'COST_UPS SAVER (Allin)'!$D$3+'COST_UPS SAVER'!I15)*118%</f>
        <v>3298.7507700000006</v>
      </c>
      <c r="J15" s="67">
        <f>('COST_UPS SAVER'!J15*'COST_UPS SAVER (Allin)'!$D$3+'COST_UPS SAVER'!J15)*118%</f>
        <v>3317.3667450000003</v>
      </c>
      <c r="K15" s="67">
        <f>('COST_UPS SAVER'!K15*'COST_UPS SAVER (Allin)'!$D$3+'COST_UPS SAVER'!K15)*118%</f>
        <v>3592.8831749999995</v>
      </c>
      <c r="L15" s="67">
        <f>('COST_UPS SAVER'!L15*'COST_UPS SAVER (Allin)'!$D$3+'COST_UPS SAVER'!L15)*118%</f>
        <v>3764.1501450000005</v>
      </c>
      <c r="M15" s="67">
        <f>('COST_UPS SAVER'!M15*'COST_UPS SAVER (Allin)'!$D$3+'COST_UPS SAVER'!M15)*118%</f>
        <v>3823.7212649999997</v>
      </c>
      <c r="N15" s="67">
        <f>('COST_UPS SAVER'!N15*'COST_UPS SAVER (Allin)'!$D$3+'COST_UPS SAVER'!N15)*118%</f>
        <v>4458.5260125000004</v>
      </c>
      <c r="O15" s="67">
        <f>('COST_UPS SAVER'!O15*'COST_UPS SAVER (Allin)'!$D$3+'COST_UPS SAVER'!O15)*118%</f>
        <v>4160.6704124999997</v>
      </c>
      <c r="P15" s="67">
        <f>('COST_UPS SAVER'!P15*'COST_UPS SAVER (Allin)'!$D$3+'COST_UPS SAVER'!P15)*118%</f>
        <v>4704.2568824999998</v>
      </c>
      <c r="Q15" s="67">
        <f>('COST_UPS SAVER'!Q15*'COST_UPS SAVER (Allin)'!$D$3+'COST_UPS SAVER'!Q15)*118%</f>
        <v>5406.0791400000007</v>
      </c>
      <c r="R15" s="67">
        <f>('COST_UPS SAVER'!R15*'COST_UPS SAVER (Allin)'!$D$3+'COST_UPS SAVER'!R15)*118%</f>
        <v>7427.7740249999988</v>
      </c>
      <c r="S15" s="67">
        <f>('COST_UPS SAVER'!S15*'COST_UPS SAVER (Allin)'!$D$3+'COST_UPS SAVER'!S15)*118%</f>
        <v>5798.8762124999994</v>
      </c>
      <c r="T15" s="67">
        <f>('COST_UPS SAVER'!T15*'COST_UPS SAVER (Allin)'!$D$3+'COST_UPS SAVER'!T15)*118%</f>
        <v>8040.2396024999989</v>
      </c>
      <c r="U15" s="67">
        <f>('COST_UPS SAVER'!U15*'COST_UPS SAVER (Allin)'!$D$3+'COST_UPS SAVER'!U15)*118%</f>
        <v>4030.3585874999994</v>
      </c>
      <c r="V15" s="67">
        <f>('COST_UPS SAVER'!V15*'COST_UPS SAVER (Allin)'!$D$3+'COST_UPS SAVER'!V15)*118%</f>
        <v>6820.8932399999994</v>
      </c>
      <c r="W15" s="67">
        <f>('COST_UPS SAVER'!W15*'COST_UPS SAVER (Allin)'!$D$3+'COST_UPS SAVER'!W15)*118%</f>
        <v>8328.7872149999985</v>
      </c>
      <c r="X15" s="67">
        <f>('COST_UPS SAVER'!X15*'COST_UPS SAVER (Allin)'!$D$3+'COST_UPS SAVER'!X15)*118%</f>
        <v>8775.5706149999987</v>
      </c>
      <c r="Y15" s="67">
        <f>('COST_UPS SAVER'!Y15*'COST_UPS SAVER (Allin)'!$D$3+'COST_UPS SAVER'!Y15)*118%</f>
        <v>9190.7068574999994</v>
      </c>
      <c r="Z15" s="67">
        <f>('COST_UPS SAVER'!Z15*'COST_UPS SAVER (Allin)'!$D$3+'COST_UPS SAVER'!Z15)*118%</f>
        <v>6934.4506874999997</v>
      </c>
      <c r="AA15" s="67">
        <f>('COST_UPS SAVER'!AA15*'COST_UPS SAVER (Allin)'!$D$3+'COST_UPS SAVER'!AA15)*118%</f>
        <v>5007.6972749999995</v>
      </c>
      <c r="AB15" s="67">
        <f>('COST_UPS SAVER'!AB15*'COST_UPS SAVER (Allin)'!$D$3+'COST_UPS SAVER'!AB15)*118%</f>
        <v>5303.6912775000001</v>
      </c>
      <c r="AC15" s="67">
        <f>('COST_UPS SAVER'!AC15*'COST_UPS SAVER (Allin)'!$D$3+'COST_UPS SAVER'!AC15)*118%</f>
        <v>5074.7147850000001</v>
      </c>
      <c r="AD15" s="67">
        <f>('COST_UPS SAVER'!AD15*'COST_UPS SAVER (Allin)'!$D$3+'COST_UPS SAVER'!AD15)*118%</f>
        <v>7595.3177999999989</v>
      </c>
      <c r="AE15" s="67">
        <f>('COST_UPS SAVER'!AE15*'COST_UPS SAVER (Allin)'!$D$3+'COST_UPS SAVER'!AE15)*118%</f>
        <v>7699.5672600000007</v>
      </c>
      <c r="AF15" s="67">
        <f>('COST_UPS SAVER'!AF15*'COST_UPS SAVER (Allin)'!$D$3+'COST_UPS SAVER'!AF15)*118%</f>
        <v>8284.1088749999999</v>
      </c>
      <c r="AG15" s="68">
        <f>('COST_UPS SAVER'!AG15*'COST_UPS SAVER (Allin)'!$D$3+'COST_UPS SAVER'!AG15)*118%</f>
        <v>9079.0110074999993</v>
      </c>
      <c r="AI15" s="22" t="s">
        <v>3</v>
      </c>
      <c r="AJ15" t="s">
        <v>86</v>
      </c>
      <c r="AK15" s="18"/>
      <c r="AL15" s="19"/>
      <c r="AM15" s="5"/>
      <c r="AN15" s="5"/>
      <c r="AO15" s="5"/>
      <c r="AP15" s="5"/>
      <c r="AQ15" s="5"/>
      <c r="AR15" s="1"/>
      <c r="AS15" s="1"/>
      <c r="AT15" s="1"/>
    </row>
    <row r="16" spans="1:46" x14ac:dyDescent="0.25">
      <c r="A16" s="27">
        <v>3.5</v>
      </c>
      <c r="B16" s="66">
        <f>('COST_UPS SAVER'!B16*'COST_UPS SAVER (Allin)'!$D$3+'COST_UPS SAVER'!B16)*118%</f>
        <v>5212.473</v>
      </c>
      <c r="C16" s="67">
        <f>('COST_UPS SAVER'!C16*'COST_UPS SAVER (Allin)'!$D$3+'COST_UPS SAVER'!C16)*118%</f>
        <v>5486.1278324999994</v>
      </c>
      <c r="D16" s="67">
        <f>('COST_UPS SAVER'!D16*'COST_UPS SAVER (Allin)'!$D$3+'COST_UPS SAVER'!D16)*118%</f>
        <v>5657.3948025</v>
      </c>
      <c r="E16" s="67">
        <f>('COST_UPS SAVER'!E16*'COST_UPS SAVER (Allin)'!$D$3+'COST_UPS SAVER'!E16)*118%</f>
        <v>5201.3034150000012</v>
      </c>
      <c r="F16" s="67">
        <f>('COST_UPS SAVER'!F16*'COST_UPS SAVER (Allin)'!$D$3+'COST_UPS SAVER'!F16)*118%</f>
        <v>5331.6152400000001</v>
      </c>
      <c r="G16" s="67">
        <f>('COST_UPS SAVER'!G16*'COST_UPS SAVER (Allin)'!$D$3+'COST_UPS SAVER'!G16)*118%</f>
        <v>5331.6152400000001</v>
      </c>
      <c r="H16" s="67">
        <f>('COST_UPS SAVER'!H16*'COST_UPS SAVER (Allin)'!$D$3+'COST_UPS SAVER'!H16)*118%</f>
        <v>3458.8481549999997</v>
      </c>
      <c r="I16" s="67">
        <f>('COST_UPS SAVER'!I16*'COST_UPS SAVER (Allin)'!$D$3+'COST_UPS SAVER'!I16)*118%</f>
        <v>3624.5303325000004</v>
      </c>
      <c r="J16" s="67">
        <f>('COST_UPS SAVER'!J16*'COST_UPS SAVER (Allin)'!$D$3+'COST_UPS SAVER'!J16)*118%</f>
        <v>3645.007904999999</v>
      </c>
      <c r="K16" s="67">
        <f>('COST_UPS SAVER'!K16*'COST_UPS SAVER (Allin)'!$D$3+'COST_UPS SAVER'!K16)*118%</f>
        <v>3942.8635049999993</v>
      </c>
      <c r="L16" s="67">
        <f>('COST_UPS SAVER'!L16*'COST_UPS SAVER (Allin)'!$D$3+'COST_UPS SAVER'!L16)*118%</f>
        <v>4125.3000599999996</v>
      </c>
      <c r="M16" s="67">
        <f>('COST_UPS SAVER'!M16*'COST_UPS SAVER (Allin)'!$D$3+'COST_UPS SAVER'!M16)*118%</f>
        <v>4188.5943749999997</v>
      </c>
      <c r="N16" s="67">
        <f>('COST_UPS SAVER'!N16*'COST_UPS SAVER (Allin)'!$D$3+'COST_UPS SAVER'!N16)*118%</f>
        <v>5015.1436649999996</v>
      </c>
      <c r="O16" s="67">
        <f>('COST_UPS SAVER'!O16*'COST_UPS SAVER (Allin)'!$D$3+'COST_UPS SAVER'!O16)*118%</f>
        <v>4637.2393724999993</v>
      </c>
      <c r="P16" s="67">
        <f>('COST_UPS SAVER'!P16*'COST_UPS SAVER (Allin)'!$D$3+'COST_UPS SAVER'!P16)*118%</f>
        <v>5171.5178549999991</v>
      </c>
      <c r="Q16" s="67">
        <f>('COST_UPS SAVER'!Q16*'COST_UPS SAVER (Allin)'!$D$3+'COST_UPS SAVER'!Q16)*118%</f>
        <v>5823.0769799999989</v>
      </c>
      <c r="R16" s="67">
        <f>('COST_UPS SAVER'!R16*'COST_UPS SAVER (Allin)'!$D$3+'COST_UPS SAVER'!R16)*118%</f>
        <v>8165.8974337499994</v>
      </c>
      <c r="S16" s="67">
        <f>('COST_UPS SAVER'!S16*'COST_UPS SAVER (Allin)'!$D$3+'COST_UPS SAVER'!S16)*118%</f>
        <v>6312.6771224999984</v>
      </c>
      <c r="T16" s="67">
        <f>('COST_UPS SAVER'!T16*'COST_UPS SAVER (Allin)'!$D$3+'COST_UPS SAVER'!T16)*118%</f>
        <v>8854.6885087499995</v>
      </c>
      <c r="U16" s="67">
        <f>('COST_UPS SAVER'!U16*'COST_UPS SAVER (Allin)'!$D$3+'COST_UPS SAVER'!U16)*118%</f>
        <v>4428.7404525000011</v>
      </c>
      <c r="V16" s="67">
        <f>('COST_UPS SAVER'!V16*'COST_UPS SAVER (Allin)'!$D$3+'COST_UPS SAVER'!V16)*118%</f>
        <v>7498.5147300000008</v>
      </c>
      <c r="W16" s="67">
        <f>('COST_UPS SAVER'!W16*'COST_UPS SAVER (Allin)'!$D$3+'COST_UPS SAVER'!W16)*118%</f>
        <v>9116.2429575000006</v>
      </c>
      <c r="X16" s="67">
        <f>('COST_UPS SAVER'!X16*'COST_UPS SAVER (Allin)'!$D$3+'COST_UPS SAVER'!X16)*118%</f>
        <v>9615.1510874999985</v>
      </c>
      <c r="Y16" s="67">
        <f>('COST_UPS SAVER'!Y16*'COST_UPS SAVER (Allin)'!$D$3+'COST_UPS SAVER'!Y16)*118%</f>
        <v>10074.96567</v>
      </c>
      <c r="Z16" s="67">
        <f>('COST_UPS SAVER'!Z16*'COST_UPS SAVER (Allin)'!$D$3+'COST_UPS SAVER'!Z16)*118%</f>
        <v>7935.0593437499992</v>
      </c>
      <c r="AA16" s="67">
        <f>('COST_UPS SAVER'!AA16*'COST_UPS SAVER (Allin)'!$D$3+'COST_UPS SAVER'!AA16)*118%</f>
        <v>5543.8373550000006</v>
      </c>
      <c r="AB16" s="67">
        <f>('COST_UPS SAVER'!AB16*'COST_UPS SAVER (Allin)'!$D$3+'COST_UPS SAVER'!AB16)*118%</f>
        <v>5889.1636912500007</v>
      </c>
      <c r="AC16" s="67">
        <f>('COST_UPS SAVER'!AC16*'COST_UPS SAVER (Allin)'!$D$3+'COST_UPS SAVER'!AC16)*118%</f>
        <v>5622.0244499999999</v>
      </c>
      <c r="AD16" s="67">
        <f>('COST_UPS SAVER'!AD16*'COST_UPS SAVER (Allin)'!$D$3+'COST_UPS SAVER'!AD16)*118%</f>
        <v>8379.9811462499983</v>
      </c>
      <c r="AE16" s="67">
        <f>('COST_UPS SAVER'!AE16*'COST_UPS SAVER (Allin)'!$D$3+'COST_UPS SAVER'!AE16)*118%</f>
        <v>8475.8534175000004</v>
      </c>
      <c r="AF16" s="67">
        <f>('COST_UPS SAVER'!AF16*'COST_UPS SAVER (Allin)'!$D$3+'COST_UPS SAVER'!AF16)*118%</f>
        <v>9082.7342024999998</v>
      </c>
      <c r="AG16" s="68">
        <f>('COST_UPS SAVER'!AG16*'COST_UPS SAVER (Allin)'!$D$3+'COST_UPS SAVER'!AG16)*118%</f>
        <v>9963.2698199999977</v>
      </c>
      <c r="AI16" s="23"/>
      <c r="AJ16" s="13" t="s">
        <v>87</v>
      </c>
      <c r="AK16" s="8"/>
      <c r="AL16" s="8"/>
      <c r="AM16" s="8"/>
      <c r="AN16" s="8"/>
      <c r="AO16" s="8"/>
      <c r="AP16" s="8"/>
      <c r="AQ16" s="8"/>
      <c r="AR16" s="1"/>
      <c r="AS16" s="1"/>
      <c r="AT16" s="1"/>
    </row>
    <row r="17" spans="1:46" x14ac:dyDescent="0.25">
      <c r="A17" s="27">
        <v>4</v>
      </c>
      <c r="B17" s="66">
        <f>('COST_UPS SAVER'!B17*'COST_UPS SAVER (Allin)'!$D$3+'COST_UPS SAVER'!B17)*118%</f>
        <v>5608.9932675</v>
      </c>
      <c r="C17" s="67">
        <f>('COST_UPS SAVER'!C17*'COST_UPS SAVER (Allin)'!$D$3+'COST_UPS SAVER'!C17)*118%</f>
        <v>5918.0184524999995</v>
      </c>
      <c r="D17" s="67">
        <f>('COST_UPS SAVER'!D17*'COST_UPS SAVER (Allin)'!$D$3+'COST_UPS SAVER'!D17)*118%</f>
        <v>6106.0398000000005</v>
      </c>
      <c r="E17" s="67">
        <f>('COST_UPS SAVER'!E17*'COST_UPS SAVER (Allin)'!$D$3+'COST_UPS SAVER'!E17)*118%</f>
        <v>5724.4123124999996</v>
      </c>
      <c r="F17" s="67">
        <f>('COST_UPS SAVER'!F17*'COST_UPS SAVER (Allin)'!$D$3+'COST_UPS SAVER'!F17)*118%</f>
        <v>5774.6754450000008</v>
      </c>
      <c r="G17" s="67">
        <f>('COST_UPS SAVER'!G17*'COST_UPS SAVER (Allin)'!$D$3+'COST_UPS SAVER'!G17)*118%</f>
        <v>5823.0769799999989</v>
      </c>
      <c r="H17" s="67">
        <f>('COST_UPS SAVER'!H17*'COST_UPS SAVER (Allin)'!$D$3+'COST_UPS SAVER'!H17)*118%</f>
        <v>3704.579025</v>
      </c>
      <c r="I17" s="67">
        <f>('COST_UPS SAVER'!I17*'COST_UPS SAVER (Allin)'!$D$3+'COST_UPS SAVER'!I17)*118%</f>
        <v>3883.2923850000002</v>
      </c>
      <c r="J17" s="67">
        <f>('COST_UPS SAVER'!J17*'COST_UPS SAVER (Allin)'!$D$3+'COST_UPS SAVER'!J17)*118%</f>
        <v>3935.4171150000002</v>
      </c>
      <c r="K17" s="67">
        <f>('COST_UPS SAVER'!K17*'COST_UPS SAVER (Allin)'!$D$3+'COST_UPS SAVER'!K17)*118%</f>
        <v>4220.2415324999993</v>
      </c>
      <c r="L17" s="67">
        <f>('COST_UPS SAVER'!L17*'COST_UPS SAVER (Allin)'!$D$3+'COST_UPS SAVER'!L17)*118%</f>
        <v>4419.4324649999999</v>
      </c>
      <c r="M17" s="67">
        <f>('COST_UPS SAVER'!M17*'COST_UPS SAVER (Allin)'!$D$3+'COST_UPS SAVER'!M17)*118%</f>
        <v>4488.3115725000007</v>
      </c>
      <c r="N17" s="67">
        <f>('COST_UPS SAVER'!N17*'COST_UPS SAVER (Allin)'!$D$3+'COST_UPS SAVER'!N17)*118%</f>
        <v>5499.1590150000002</v>
      </c>
      <c r="O17" s="67">
        <f>('COST_UPS SAVER'!O17*'COST_UPS SAVER (Allin)'!$D$3+'COST_UPS SAVER'!O17)*118%</f>
        <v>5035.6212374999996</v>
      </c>
      <c r="P17" s="67">
        <f>('COST_UPS SAVER'!P17*'COST_UPS SAVER (Allin)'!$D$3+'COST_UPS SAVER'!P17)*118%</f>
        <v>5562.4533299999994</v>
      </c>
      <c r="Q17" s="67">
        <f>('COST_UPS SAVER'!Q17*'COST_UPS SAVER (Allin)'!$D$3+'COST_UPS SAVER'!Q17)*118%</f>
        <v>6264.2755874999993</v>
      </c>
      <c r="R17" s="67">
        <f>('COST_UPS SAVER'!R17*'COST_UPS SAVER (Allin)'!$D$3+'COST_UPS SAVER'!R17)*118%</f>
        <v>8831.4185399999988</v>
      </c>
      <c r="S17" s="67">
        <f>('COST_UPS SAVER'!S17*'COST_UPS SAVER (Allin)'!$D$3+'COST_UPS SAVER'!S17)*118%</f>
        <v>6755.7373275</v>
      </c>
      <c r="T17" s="67">
        <f>('COST_UPS SAVER'!T17*'COST_UPS SAVER (Allin)'!$D$3+'COST_UPS SAVER'!T17)*118%</f>
        <v>9592.8119175000011</v>
      </c>
      <c r="U17" s="67">
        <f>('COST_UPS SAVER'!U17*'COST_UPS SAVER (Allin)'!$D$3+'COST_UPS SAVER'!U17)*118%</f>
        <v>4754.5200150000001</v>
      </c>
      <c r="V17" s="67">
        <f>('COST_UPS SAVER'!V17*'COST_UPS SAVER (Allin)'!$D$3+'COST_UPS SAVER'!V17)*118%</f>
        <v>8101.6723200000006</v>
      </c>
      <c r="W17" s="67">
        <f>('COST_UPS SAVER'!W17*'COST_UPS SAVER (Allin)'!$D$3+'COST_UPS SAVER'!W17)*118%</f>
        <v>9836.6811899999993</v>
      </c>
      <c r="X17" s="67">
        <f>('COST_UPS SAVER'!X17*'COST_UPS SAVER (Allin)'!$D$3+'COST_UPS SAVER'!X17)*118%</f>
        <v>10378.406062499998</v>
      </c>
      <c r="Y17" s="67">
        <f>('COST_UPS SAVER'!Y17*'COST_UPS SAVER (Allin)'!$D$3+'COST_UPS SAVER'!Y17)*118%</f>
        <v>10881.037387499999</v>
      </c>
      <c r="Z17" s="67">
        <f>('COST_UPS SAVER'!Z17*'COST_UPS SAVER (Allin)'!$D$3+'COST_UPS SAVER'!Z17)*118%</f>
        <v>8535.4245374999991</v>
      </c>
      <c r="AA17" s="67">
        <f>('COST_UPS SAVER'!AA17*'COST_UPS SAVER (Allin)'!$D$3+'COST_UPS SAVER'!AA17)*118%</f>
        <v>5966.4199875000004</v>
      </c>
      <c r="AB17" s="67">
        <f>('COST_UPS SAVER'!AB17*'COST_UPS SAVER (Allin)'!$D$3+'COST_UPS SAVER'!AB17)*118%</f>
        <v>6361.0786575000002</v>
      </c>
      <c r="AC17" s="67">
        <f>('COST_UPS SAVER'!AC17*'COST_UPS SAVER (Allin)'!$D$3+'COST_UPS SAVER'!AC17)*118%</f>
        <v>6055.7766674999993</v>
      </c>
      <c r="AD17" s="67">
        <f>('COST_UPS SAVER'!AD17*'COST_UPS SAVER (Allin)'!$D$3+'COST_UPS SAVER'!AD17)*118%</f>
        <v>9054.8102399999989</v>
      </c>
      <c r="AE17" s="67">
        <f>('COST_UPS SAVER'!AE17*'COST_UPS SAVER (Allin)'!$D$3+'COST_UPS SAVER'!AE17)*118%</f>
        <v>9138.582127499998</v>
      </c>
      <c r="AF17" s="67">
        <f>('COST_UPS SAVER'!AF17*'COST_UPS SAVER (Allin)'!$D$3+'COST_UPS SAVER'!AF17)*118%</f>
        <v>9777.1100699999988</v>
      </c>
      <c r="AG17" s="68">
        <f>('COST_UPS SAVER'!AG17*'COST_UPS SAVER (Allin)'!$D$3+'COST_UPS SAVER'!AG17)*118%</f>
        <v>10732.109587499999</v>
      </c>
      <c r="AI17" s="23"/>
      <c r="AJ17" s="13" t="s">
        <v>88</v>
      </c>
      <c r="AK17" s="8"/>
      <c r="AL17" s="8"/>
      <c r="AM17" s="8"/>
      <c r="AN17" s="8"/>
      <c r="AO17" s="8"/>
      <c r="AP17" s="8"/>
      <c r="AQ17" s="8"/>
      <c r="AR17" s="1"/>
      <c r="AS17" s="1"/>
      <c r="AT17" s="1"/>
    </row>
    <row r="18" spans="1:46" x14ac:dyDescent="0.25">
      <c r="A18" s="27">
        <v>4.5</v>
      </c>
      <c r="B18" s="66">
        <f>('COST_UPS SAVER'!B18*'COST_UPS SAVER (Allin)'!$D$3+'COST_UPS SAVER'!B18)*118%</f>
        <v>6079.9774349999989</v>
      </c>
      <c r="C18" s="67">
        <f>('COST_UPS SAVER'!C18*'COST_UPS SAVER (Allin)'!$D$3+'COST_UPS SAVER'!C18)*118%</f>
        <v>6422.5113749999991</v>
      </c>
      <c r="D18" s="67">
        <f>('COST_UPS SAVER'!D18*'COST_UPS SAVER (Allin)'!$D$3+'COST_UPS SAVER'!D18)*118%</f>
        <v>6629.1486974999998</v>
      </c>
      <c r="E18" s="67">
        <f>('COST_UPS SAVER'!E18*'COST_UPS SAVER (Allin)'!$D$3+'COST_UPS SAVER'!E18)*118%</f>
        <v>6297.7843425000001</v>
      </c>
      <c r="F18" s="67">
        <f>('COST_UPS SAVER'!F18*'COST_UPS SAVER (Allin)'!$D$3+'COST_UPS SAVER'!F18)*118%</f>
        <v>6351.7706700000008</v>
      </c>
      <c r="G18" s="67">
        <f>('COST_UPS SAVER'!G18*'COST_UPS SAVER (Allin)'!$D$3+'COST_UPS SAVER'!G18)*118%</f>
        <v>6405.7569974999997</v>
      </c>
      <c r="H18" s="67">
        <f>('COST_UPS SAVER'!H18*'COST_UPS SAVER (Allin)'!$D$3+'COST_UPS SAVER'!H18)*118%</f>
        <v>4048.9745624999996</v>
      </c>
      <c r="I18" s="67">
        <f>('COST_UPS SAVER'!I18*'COST_UPS SAVER (Allin)'!$D$3+'COST_UPS SAVER'!I18)*118%</f>
        <v>4207.2103499999994</v>
      </c>
      <c r="J18" s="67">
        <f>('COST_UPS SAVER'!J18*'COST_UPS SAVER (Allin)'!$D$3+'COST_UPS SAVER'!J18)*118%</f>
        <v>4264.9198725000006</v>
      </c>
      <c r="K18" s="67">
        <f>('COST_UPS SAVER'!K18*'COST_UPS SAVER (Allin)'!$D$3+'COST_UPS SAVER'!K18)*118%</f>
        <v>4572.0834599999989</v>
      </c>
      <c r="L18" s="67">
        <f>('COST_UPS SAVER'!L18*'COST_UPS SAVER (Allin)'!$D$3+'COST_UPS SAVER'!L18)*118%</f>
        <v>4780.5823799999998</v>
      </c>
      <c r="M18" s="67">
        <f>('COST_UPS SAVER'!M18*'COST_UPS SAVER (Allin)'!$D$3+'COST_UPS SAVER'!M18)*118%</f>
        <v>4853.1846824999984</v>
      </c>
      <c r="N18" s="67">
        <f>('COST_UPS SAVER'!N18*'COST_UPS SAVER (Allin)'!$D$3+'COST_UPS SAVER'!N18)*118%</f>
        <v>6061.3614600000001</v>
      </c>
      <c r="O18" s="67">
        <f>('COST_UPS SAVER'!O18*'COST_UPS SAVER (Allin)'!$D$3+'COST_UPS SAVER'!O18)*118%</f>
        <v>5512.1901975000001</v>
      </c>
      <c r="P18" s="67">
        <f>('COST_UPS SAVER'!P18*'COST_UPS SAVER (Allin)'!$D$3+'COST_UPS SAVER'!P18)*118%</f>
        <v>6024.1295099999988</v>
      </c>
      <c r="Q18" s="67">
        <f>('COST_UPS SAVER'!Q18*'COST_UPS SAVER (Allin)'!$D$3+'COST_UPS SAVER'!Q18)*118%</f>
        <v>6763.1837175000001</v>
      </c>
      <c r="R18" s="67">
        <f>('COST_UPS SAVER'!R18*'COST_UPS SAVER (Allin)'!$D$3+'COST_UPS SAVER'!R18)*118%</f>
        <v>9571.4035462499978</v>
      </c>
      <c r="S18" s="67">
        <f>('COST_UPS SAVER'!S18*'COST_UPS SAVER (Allin)'!$D$3+'COST_UPS SAVER'!S18)*118%</f>
        <v>7258.3686525000003</v>
      </c>
      <c r="T18" s="67">
        <f>('COST_UPS SAVER'!T18*'COST_UPS SAVER (Allin)'!$D$3+'COST_UPS SAVER'!T18)*118%</f>
        <v>10390.506446249999</v>
      </c>
      <c r="U18" s="67">
        <f>('COST_UPS SAVER'!U18*'COST_UPS SAVER (Allin)'!$D$3+'COST_UPS SAVER'!U18)*118%</f>
        <v>5154.7634775000006</v>
      </c>
      <c r="V18" s="67">
        <f>('COST_UPS SAVER'!V18*'COST_UPS SAVER (Allin)'!$D$3+'COST_UPS SAVER'!V18)*118%</f>
        <v>8777.4322124999999</v>
      </c>
      <c r="W18" s="67">
        <f>('COST_UPS SAVER'!W18*'COST_UPS SAVER (Allin)'!$D$3+'COST_UPS SAVER'!W18)*118%</f>
        <v>10629.721724999999</v>
      </c>
      <c r="X18" s="67">
        <f>('COST_UPS SAVER'!X18*'COST_UPS SAVER (Allin)'!$D$3+'COST_UPS SAVER'!X18)*118%</f>
        <v>11216.124937499999</v>
      </c>
      <c r="Y18" s="67">
        <f>('COST_UPS SAVER'!Y18*'COST_UPS SAVER (Allin)'!$D$3+'COST_UPS SAVER'!Y18)*118%</f>
        <v>11759.711407499999</v>
      </c>
      <c r="Z18" s="67">
        <f>('COST_UPS SAVER'!Z18*'COST_UPS SAVER (Allin)'!$D$3+'COST_UPS SAVER'!Z18)*118%</f>
        <v>9534.1715962499984</v>
      </c>
      <c r="AA18" s="67">
        <f>('COST_UPS SAVER'!AA18*'COST_UPS SAVER (Allin)'!$D$3+'COST_UPS SAVER'!AA18)*118%</f>
        <v>6500.6984700000003</v>
      </c>
      <c r="AB18" s="67">
        <f>('COST_UPS SAVER'!AB18*'COST_UPS SAVER (Allin)'!$D$3+'COST_UPS SAVER'!AB18)*118%</f>
        <v>6944.6894737499997</v>
      </c>
      <c r="AC18" s="67">
        <f>('COST_UPS SAVER'!AC18*'COST_UPS SAVER (Allin)'!$D$3+'COST_UPS SAVER'!AC18)*118%</f>
        <v>6601.2247349999998</v>
      </c>
      <c r="AD18" s="67">
        <f>('COST_UPS SAVER'!AD18*'COST_UPS SAVER (Allin)'!$D$3+'COST_UPS SAVER'!AD18)*118%</f>
        <v>9841.3351837499977</v>
      </c>
      <c r="AE18" s="67">
        <f>('COST_UPS SAVER'!AE18*'COST_UPS SAVER (Allin)'!$D$3+'COST_UPS SAVER'!AE18)*118%</f>
        <v>9898.1139074999992</v>
      </c>
      <c r="AF18" s="67">
        <f>('COST_UPS SAVER'!AF18*'COST_UPS SAVER (Allin)'!$D$3+'COST_UPS SAVER'!AF18)*118%</f>
        <v>10581.320189999999</v>
      </c>
      <c r="AG18" s="68">
        <f>('COST_UPS SAVER'!AG18*'COST_UPS SAVER (Allin)'!$D$3+'COST_UPS SAVER'!AG18)*118%</f>
        <v>11610.7836075</v>
      </c>
      <c r="AI18" s="23"/>
      <c r="AJ18" s="13" t="s">
        <v>89</v>
      </c>
      <c r="AK18" s="8"/>
      <c r="AL18" s="8"/>
      <c r="AM18" s="8"/>
      <c r="AN18" s="8"/>
      <c r="AO18" s="8"/>
      <c r="AP18" s="8"/>
      <c r="AQ18" s="8"/>
      <c r="AR18" s="1"/>
      <c r="AS18" s="1"/>
      <c r="AT18" s="1"/>
    </row>
    <row r="19" spans="1:46" x14ac:dyDescent="0.25">
      <c r="A19" s="27">
        <v>5</v>
      </c>
      <c r="B19" s="66">
        <f>('COST_UPS SAVER'!B19*'COST_UPS SAVER (Allin)'!$D$3+'COST_UPS SAVER'!B19)*118%</f>
        <v>6478.3592999999992</v>
      </c>
      <c r="C19" s="67">
        <f>('COST_UPS SAVER'!C19*'COST_UPS SAVER (Allin)'!$D$3+'COST_UPS SAVER'!C19)*118%</f>
        <v>6852.540397499999</v>
      </c>
      <c r="D19" s="67">
        <f>('COST_UPS SAVER'!D19*'COST_UPS SAVER (Allin)'!$D$3+'COST_UPS SAVER'!D19)*118%</f>
        <v>7077.7936949999994</v>
      </c>
      <c r="E19" s="67">
        <f>('COST_UPS SAVER'!E19*'COST_UPS SAVER (Allin)'!$D$3+'COST_UPS SAVER'!E19)*118%</f>
        <v>6802.2772650000006</v>
      </c>
      <c r="F19" s="67">
        <f>('COST_UPS SAVER'!F19*'COST_UPS SAVER (Allin)'!$D$3+'COST_UPS SAVER'!F19)*118%</f>
        <v>6859.9867874999991</v>
      </c>
      <c r="G19" s="67">
        <f>('COST_UPS SAVER'!G19*'COST_UPS SAVER (Allin)'!$D$3+'COST_UPS SAVER'!G19)*118%</f>
        <v>6917.6963099999994</v>
      </c>
      <c r="H19" s="67">
        <f>('COST_UPS SAVER'!H19*'COST_UPS SAVER (Allin)'!$D$3+'COST_UPS SAVER'!H19)*118%</f>
        <v>4294.705432499999</v>
      </c>
      <c r="I19" s="67">
        <f>('COST_UPS SAVER'!I19*'COST_UPS SAVER (Allin)'!$D$3+'COST_UPS SAVER'!I19)*118%</f>
        <v>4462.2492074999991</v>
      </c>
      <c r="J19" s="67">
        <f>('COST_UPS SAVER'!J19*'COST_UPS SAVER (Allin)'!$D$3+'COST_UPS SAVER'!J19)*118%</f>
        <v>4523.6819249999999</v>
      </c>
      <c r="K19" s="67">
        <f>('COST_UPS SAVER'!K19*'COST_UPS SAVER (Allin)'!$D$3+'COST_UPS SAVER'!K19)*118%</f>
        <v>4849.4614874999997</v>
      </c>
      <c r="L19" s="67">
        <f>('COST_UPS SAVER'!L19*'COST_UPS SAVER (Allin)'!$D$3+'COST_UPS SAVER'!L19)*118%</f>
        <v>5074.7147850000001</v>
      </c>
      <c r="M19" s="67">
        <f>('COST_UPS SAVER'!M19*'COST_UPS SAVER (Allin)'!$D$3+'COST_UPS SAVER'!M19)*118%</f>
        <v>5152.9018800000003</v>
      </c>
      <c r="N19" s="67">
        <f>('COST_UPS SAVER'!N19*'COST_UPS SAVER (Allin)'!$D$3+'COST_UPS SAVER'!N19)*118%</f>
        <v>6489.5288849999988</v>
      </c>
      <c r="O19" s="67">
        <f>('COST_UPS SAVER'!O19*'COST_UPS SAVER (Allin)'!$D$3+'COST_UPS SAVER'!O19)*118%</f>
        <v>5914.2952574999999</v>
      </c>
      <c r="P19" s="67">
        <f>('COST_UPS SAVER'!P19*'COST_UPS SAVER (Allin)'!$D$3+'COST_UPS SAVER'!P19)*118%</f>
        <v>6416.9265824999993</v>
      </c>
      <c r="Q19" s="67">
        <f>('COST_UPS SAVER'!Q19*'COST_UPS SAVER (Allin)'!$D$3+'COST_UPS SAVER'!Q19)*118%</f>
        <v>7768.4463675000006</v>
      </c>
      <c r="R19" s="67">
        <f>('COST_UPS SAVER'!R19*'COST_UPS SAVER (Allin)'!$D$3+'COST_UPS SAVER'!R19)*118%</f>
        <v>10240.647847499999</v>
      </c>
      <c r="S19" s="67">
        <f>('COST_UPS SAVER'!S19*'COST_UPS SAVER (Allin)'!$D$3+'COST_UPS SAVER'!S19)*118%</f>
        <v>7690.2592724999986</v>
      </c>
      <c r="T19" s="67">
        <f>('COST_UPS SAVER'!T19*'COST_UPS SAVER (Allin)'!$D$3+'COST_UPS SAVER'!T19)*118%</f>
        <v>11139.799439999999</v>
      </c>
      <c r="U19" s="67">
        <f>('COST_UPS SAVER'!U19*'COST_UPS SAVER (Allin)'!$D$3+'COST_UPS SAVER'!U19)*118%</f>
        <v>5473.0966499999995</v>
      </c>
      <c r="V19" s="67">
        <f>('COST_UPS SAVER'!V19*'COST_UPS SAVER (Allin)'!$D$3+'COST_UPS SAVER'!V19)*118%</f>
        <v>9373.1434124999996</v>
      </c>
      <c r="W19" s="67">
        <f>('COST_UPS SAVER'!W19*'COST_UPS SAVER (Allin)'!$D$3+'COST_UPS SAVER'!W19)*118%</f>
        <v>11348.298359999997</v>
      </c>
      <c r="X19" s="67">
        <f>('COST_UPS SAVER'!X19*'COST_UPS SAVER (Allin)'!$D$3+'COST_UPS SAVER'!X19)*118%</f>
        <v>11979.379912500001</v>
      </c>
      <c r="Y19" s="67">
        <f>('COST_UPS SAVER'!Y19*'COST_UPS SAVER (Allin)'!$D$3+'COST_UPS SAVER'!Y19)*118%</f>
        <v>12567.644722499999</v>
      </c>
      <c r="Z19" s="67">
        <f>('COST_UPS SAVER'!Z19*'COST_UPS SAVER (Allin)'!$D$3+'COST_UPS SAVER'!Z19)*118%</f>
        <v>10136.398387499999</v>
      </c>
      <c r="AA19" s="67">
        <f>('COST_UPS SAVER'!AA19*'COST_UPS SAVER (Allin)'!$D$3+'COST_UPS SAVER'!AA19)*118%</f>
        <v>6925.1426999999985</v>
      </c>
      <c r="AB19" s="67">
        <f>('COST_UPS SAVER'!AB19*'COST_UPS SAVER (Allin)'!$D$3+'COST_UPS SAVER'!AB19)*118%</f>
        <v>7418.4660374999994</v>
      </c>
      <c r="AC19" s="67">
        <f>('COST_UPS SAVER'!AC19*'COST_UPS SAVER (Allin)'!$D$3+'COST_UPS SAVER'!AC19)*118%</f>
        <v>7036.8385499999986</v>
      </c>
      <c r="AD19" s="67">
        <f>('COST_UPS SAVER'!AD19*'COST_UPS SAVER (Allin)'!$D$3+'COST_UPS SAVER'!AD19)*118%</f>
        <v>10519.887472500001</v>
      </c>
      <c r="AE19" s="67">
        <f>('COST_UPS SAVER'!AE19*'COST_UPS SAVER (Allin)'!$D$3+'COST_UPS SAVER'!AE19)*118%</f>
        <v>10572.0122025</v>
      </c>
      <c r="AF19" s="67">
        <f>('COST_UPS SAVER'!AF19*'COST_UPS SAVER (Allin)'!$D$3+'COST_UPS SAVER'!AF19)*118%</f>
        <v>11273.834459999998</v>
      </c>
      <c r="AG19" s="68">
        <f>('COST_UPS SAVER'!AG19*'COST_UPS SAVER (Allin)'!$D$3+'COST_UPS SAVER'!AG19)*118%</f>
        <v>12381.4849725</v>
      </c>
      <c r="AI19" s="23"/>
      <c r="AJ19" s="8"/>
      <c r="AK19" s="8"/>
      <c r="AL19" s="8"/>
      <c r="AM19" s="8"/>
      <c r="AN19" s="8"/>
      <c r="AO19" s="8"/>
      <c r="AP19" s="8"/>
      <c r="AQ19" s="8"/>
      <c r="AR19" s="1"/>
      <c r="AS19" s="1"/>
      <c r="AT19" s="1"/>
    </row>
    <row r="20" spans="1:46" x14ac:dyDescent="0.25">
      <c r="A20" s="27">
        <v>5.5</v>
      </c>
      <c r="B20" s="66">
        <f>('COST_UPS SAVER'!B20*'COST_UPS SAVER (Allin)'!$D$3+'COST_UPS SAVER'!B20)*118%</f>
        <v>6917.6963099999994</v>
      </c>
      <c r="C20" s="67">
        <f>('COST_UPS SAVER'!C20*'COST_UPS SAVER (Allin)'!$D$3+'COST_UPS SAVER'!C20)*118%</f>
        <v>7325.386162499999</v>
      </c>
      <c r="D20" s="67">
        <f>('COST_UPS SAVER'!D20*'COST_UPS SAVER (Allin)'!$D$3+'COST_UPS SAVER'!D20)*118%</f>
        <v>7569.2554349999982</v>
      </c>
      <c r="E20" s="67">
        <f>('COST_UPS SAVER'!E20*'COST_UPS SAVER (Allin)'!$D$3+'COST_UPS SAVER'!E20)*118%</f>
        <v>7263.953445000001</v>
      </c>
      <c r="F20" s="67">
        <f>('COST_UPS SAVER'!F20*'COST_UPS SAVER (Allin)'!$D$3+'COST_UPS SAVER'!F20)*118%</f>
        <v>7325.386162499999</v>
      </c>
      <c r="G20" s="67">
        <f>('COST_UPS SAVER'!G20*'COST_UPS SAVER (Allin)'!$D$3+'COST_UPS SAVER'!G20)*118%</f>
        <v>7384.9572824999996</v>
      </c>
      <c r="H20" s="67">
        <f>('COST_UPS SAVER'!H20*'COST_UPS SAVER (Allin)'!$D$3+'COST_UPS SAVER'!H20)*118%</f>
        <v>4581.3914475000001</v>
      </c>
      <c r="I20" s="67">
        <f>('COST_UPS SAVER'!I20*'COST_UPS SAVER (Allin)'!$D$3+'COST_UPS SAVER'!I20)*118%</f>
        <v>4760.104807499999</v>
      </c>
      <c r="J20" s="67">
        <f>('COST_UPS SAVER'!J20*'COST_UPS SAVER (Allin)'!$D$3+'COST_UPS SAVER'!J20)*118%</f>
        <v>4828.9839150000007</v>
      </c>
      <c r="K20" s="67">
        <f>('COST_UPS SAVER'!K20*'COST_UPS SAVER (Allin)'!$D$3+'COST_UPS SAVER'!K20)*118%</f>
        <v>5171.5178549999991</v>
      </c>
      <c r="L20" s="67">
        <f>('COST_UPS SAVER'!L20*'COST_UPS SAVER (Allin)'!$D$3+'COST_UPS SAVER'!L20)*118%</f>
        <v>5406.0791400000007</v>
      </c>
      <c r="M20" s="67">
        <f>('COST_UPS SAVER'!M20*'COST_UPS SAVER (Allin)'!$D$3+'COST_UPS SAVER'!M20)*118%</f>
        <v>5487.9894299999996</v>
      </c>
      <c r="N20" s="67">
        <f>('COST_UPS SAVER'!N20*'COST_UPS SAVER (Allin)'!$D$3+'COST_UPS SAVER'!N20)*118%</f>
        <v>7909.9277775</v>
      </c>
      <c r="O20" s="67">
        <f>('COST_UPS SAVER'!O20*'COST_UPS SAVER (Allin)'!$D$3+'COST_UPS SAVER'!O20)*118%</f>
        <v>6342.4626825000005</v>
      </c>
      <c r="P20" s="67">
        <f>('COST_UPS SAVER'!P20*'COST_UPS SAVER (Allin)'!$D$3+'COST_UPS SAVER'!P20)*118%</f>
        <v>7061.0393174999999</v>
      </c>
      <c r="Q20" s="67">
        <f>('COST_UPS SAVER'!Q20*'COST_UPS SAVER (Allin)'!$D$3+'COST_UPS SAVER'!Q20)*118%</f>
        <v>8315.7560324999995</v>
      </c>
      <c r="R20" s="67">
        <f>('COST_UPS SAVER'!R20*'COST_UPS SAVER (Allin)'!$D$3+'COST_UPS SAVER'!R20)*118%</f>
        <v>12674.686578749997</v>
      </c>
      <c r="S20" s="67">
        <f>('COST_UPS SAVER'!S20*'COST_UPS SAVER (Allin)'!$D$3+'COST_UPS SAVER'!S20)*118%</f>
        <v>9965.1314175000025</v>
      </c>
      <c r="T20" s="67">
        <f>('COST_UPS SAVER'!T20*'COST_UPS SAVER (Allin)'!$D$3+'COST_UPS SAVER'!T20)*118%</f>
        <v>13212.688256249998</v>
      </c>
      <c r="U20" s="67">
        <f>('COST_UPS SAVER'!U20*'COST_UPS SAVER (Allin)'!$D$3+'COST_UPS SAVER'!U20)*118%</f>
        <v>5867.7553200000011</v>
      </c>
      <c r="V20" s="67">
        <f>('COST_UPS SAVER'!V20*'COST_UPS SAVER (Allin)'!$D$3+'COST_UPS SAVER'!V20)*118%</f>
        <v>9987.4705874999981</v>
      </c>
      <c r="W20" s="67">
        <f>('COST_UPS SAVER'!W20*'COST_UPS SAVER (Allin)'!$D$3+'COST_UPS SAVER'!W20)*118%</f>
        <v>13010.704927500001</v>
      </c>
      <c r="X20" s="67">
        <f>('COST_UPS SAVER'!X20*'COST_UPS SAVER (Allin)'!$D$3+'COST_UPS SAVER'!X20)*118%</f>
        <v>12727.7421075</v>
      </c>
      <c r="Y20" s="67">
        <f>('COST_UPS SAVER'!Y20*'COST_UPS SAVER (Allin)'!$D$3+'COST_UPS SAVER'!Y20)*118%</f>
        <v>13384.886024999998</v>
      </c>
      <c r="Z20" s="67">
        <f>('COST_UPS SAVER'!Z20*'COST_UPS SAVER (Allin)'!$D$3+'COST_UPS SAVER'!Z20)*118%</f>
        <v>11103.498288750001</v>
      </c>
      <c r="AA20" s="67">
        <f>('COST_UPS SAVER'!AA20*'COST_UPS SAVER (Allin)'!$D$3+'COST_UPS SAVER'!AA20)*118%</f>
        <v>7427.7740249999988</v>
      </c>
      <c r="AB20" s="67">
        <f>('COST_UPS SAVER'!AB20*'COST_UPS SAVER (Allin)'!$D$3+'COST_UPS SAVER'!AB20)*118%</f>
        <v>7970.4296962499993</v>
      </c>
      <c r="AC20" s="67">
        <f>('COST_UPS SAVER'!AC20*'COST_UPS SAVER (Allin)'!$D$3+'COST_UPS SAVER'!AC20)*118%</f>
        <v>7550.6394599999994</v>
      </c>
      <c r="AD20" s="67">
        <f>('COST_UPS SAVER'!AD20*'COST_UPS SAVER (Allin)'!$D$3+'COST_UPS SAVER'!AD20)*118%</f>
        <v>13000.466141249997</v>
      </c>
      <c r="AE20" s="67">
        <f>('COST_UPS SAVER'!AE20*'COST_UPS SAVER (Allin)'!$D$3+'COST_UPS SAVER'!AE20)*118%</f>
        <v>12606.738269999998</v>
      </c>
      <c r="AF20" s="67">
        <f>('COST_UPS SAVER'!AF20*'COST_UPS SAVER (Allin)'!$D$3+'COST_UPS SAVER'!AF20)*118%</f>
        <v>12947.410612499998</v>
      </c>
      <c r="AG20" s="68">
        <f>('COST_UPS SAVER'!AG20*'COST_UPS SAVER (Allin)'!$D$3+'COST_UPS SAVER'!AG20)*118%</f>
        <v>13198.726274999999</v>
      </c>
      <c r="AI20" s="22" t="s">
        <v>4</v>
      </c>
      <c r="AJ20" t="s">
        <v>90</v>
      </c>
      <c r="AK20" s="18"/>
      <c r="AL20" s="19"/>
      <c r="AM20" s="5"/>
      <c r="AN20" s="5"/>
      <c r="AO20" s="5"/>
      <c r="AP20" s="5"/>
      <c r="AQ20" s="5"/>
      <c r="AR20" s="1"/>
      <c r="AS20" s="1"/>
      <c r="AT20" s="1"/>
    </row>
    <row r="21" spans="1:46" x14ac:dyDescent="0.25">
      <c r="A21" s="27">
        <v>6</v>
      </c>
      <c r="B21" s="66">
        <f>('COST_UPS SAVER'!B21*'COST_UPS SAVER (Allin)'!$D$3+'COST_UPS SAVER'!B21)*118%</f>
        <v>7291.8774075000001</v>
      </c>
      <c r="C21" s="67">
        <f>('COST_UPS SAVER'!C21*'COST_UPS SAVER (Allin)'!$D$3+'COST_UPS SAVER'!C21)*118%</f>
        <v>7733.0760149999978</v>
      </c>
      <c r="D21" s="67">
        <f>('COST_UPS SAVER'!D21*'COST_UPS SAVER (Allin)'!$D$3+'COST_UPS SAVER'!D21)*118%</f>
        <v>7993.6996649999983</v>
      </c>
      <c r="E21" s="67">
        <f>('COST_UPS SAVER'!E21*'COST_UPS SAVER (Allin)'!$D$3+'COST_UPS SAVER'!E21)*118%</f>
        <v>7664.1969075000006</v>
      </c>
      <c r="F21" s="67">
        <f>('COST_UPS SAVER'!F21*'COST_UPS SAVER (Allin)'!$D$3+'COST_UPS SAVER'!F21)*118%</f>
        <v>7727.4912224999998</v>
      </c>
      <c r="G21" s="67">
        <f>('COST_UPS SAVER'!G21*'COST_UPS SAVER (Allin)'!$D$3+'COST_UPS SAVER'!G21)*118%</f>
        <v>7792.6471350000002</v>
      </c>
      <c r="H21" s="67">
        <f>('COST_UPS SAVER'!H21*'COST_UPS SAVER (Allin)'!$D$3+'COST_UPS SAVER'!H21)*118%</f>
        <v>4804.7831474999994</v>
      </c>
      <c r="I21" s="67">
        <f>('COST_UPS SAVER'!I21*'COST_UPS SAVER (Allin)'!$D$3+'COST_UPS SAVER'!I21)*118%</f>
        <v>4990.9428974999992</v>
      </c>
      <c r="J21" s="67">
        <f>('COST_UPS SAVER'!J21*'COST_UPS SAVER (Allin)'!$D$3+'COST_UPS SAVER'!J21)*118%</f>
        <v>5057.9604074999997</v>
      </c>
      <c r="K21" s="67">
        <f>('COST_UPS SAVER'!K21*'COST_UPS SAVER (Allin)'!$D$3+'COST_UPS SAVER'!K21)*118%</f>
        <v>5417.2487249999995</v>
      </c>
      <c r="L21" s="67">
        <f>('COST_UPS SAVER'!L21*'COST_UPS SAVER (Allin)'!$D$3+'COST_UPS SAVER'!L21)*118%</f>
        <v>5664.8411925</v>
      </c>
      <c r="M21" s="67">
        <f>('COST_UPS SAVER'!M21*'COST_UPS SAVER (Allin)'!$D$3+'COST_UPS SAVER'!M21)*118%</f>
        <v>5750.4746774999994</v>
      </c>
      <c r="N21" s="67">
        <f>('COST_UPS SAVER'!N21*'COST_UPS SAVER (Allin)'!$D$3+'COST_UPS SAVER'!N21)*118%</f>
        <v>8421.8670899999979</v>
      </c>
      <c r="O21" s="67">
        <f>('COST_UPS SAVER'!O21*'COST_UPS SAVER (Allin)'!$D$3+'COST_UPS SAVER'!O21)*118%</f>
        <v>6943.7586749999991</v>
      </c>
      <c r="P21" s="67">
        <f>('COST_UPS SAVER'!P21*'COST_UPS SAVER (Allin)'!$D$3+'COST_UPS SAVER'!P21)*118%</f>
        <v>7532.0234849999997</v>
      </c>
      <c r="Q21" s="67">
        <f>('COST_UPS SAVER'!Q21*'COST_UPS SAVER (Allin)'!$D$3+'COST_UPS SAVER'!Q21)*118%</f>
        <v>8792.3249925</v>
      </c>
      <c r="R21" s="67">
        <f>('COST_UPS SAVER'!R21*'COST_UPS SAVER (Allin)'!$D$3+'COST_UPS SAVER'!R21)*118%</f>
        <v>13297.390942499997</v>
      </c>
      <c r="S21" s="67">
        <f>('COST_UPS SAVER'!S21*'COST_UPS SAVER (Allin)'!$D$3+'COST_UPS SAVER'!S21)*118%</f>
        <v>10402.606830000002</v>
      </c>
      <c r="T21" s="67">
        <f>('COST_UPS SAVER'!T21*'COST_UPS SAVER (Allin)'!$D$3+'COST_UPS SAVER'!T21)*118%</f>
        <v>14027.137162499997</v>
      </c>
      <c r="U21" s="67">
        <f>('COST_UPS SAVER'!U21*'COST_UPS SAVER (Allin)'!$D$3+'COST_UPS SAVER'!U21)*118%</f>
        <v>6182.3652974999995</v>
      </c>
      <c r="V21" s="67">
        <f>('COST_UPS SAVER'!V21*'COST_UPS SAVER (Allin)'!$D$3+'COST_UPS SAVER'!V21)*118%</f>
        <v>10514.302679999999</v>
      </c>
      <c r="W21" s="67">
        <f>('COST_UPS SAVER'!W21*'COST_UPS SAVER (Allin)'!$D$3+'COST_UPS SAVER'!W21)*118%</f>
        <v>13692.049612499999</v>
      </c>
      <c r="X21" s="67">
        <f>('COST_UPS SAVER'!X21*'COST_UPS SAVER (Allin)'!$D$3+'COST_UPS SAVER'!X21)*118%</f>
        <v>13407.225195000001</v>
      </c>
      <c r="Y21" s="67">
        <f>('COST_UPS SAVER'!Y21*'COST_UPS SAVER (Allin)'!$D$3+'COST_UPS SAVER'!Y21)*118%</f>
        <v>14148.140999999998</v>
      </c>
      <c r="Z21" s="67">
        <f>('COST_UPS SAVER'!Z21*'COST_UPS SAVER (Allin)'!$D$3+'COST_UPS SAVER'!Z21)*118%</f>
        <v>11681.524312499998</v>
      </c>
      <c r="AA21" s="67">
        <f>('COST_UPS SAVER'!AA21*'COST_UPS SAVER (Allin)'!$D$3+'COST_UPS SAVER'!AA21)*118%</f>
        <v>7828.0174874999984</v>
      </c>
      <c r="AB21" s="67">
        <f>('COST_UPS SAVER'!AB21*'COST_UPS SAVER (Allin)'!$D$3+'COST_UPS SAVER'!AB21)*118%</f>
        <v>8420.0054925000004</v>
      </c>
      <c r="AC21" s="67">
        <f>('COST_UPS SAVER'!AC21*'COST_UPS SAVER (Allin)'!$D$3+'COST_UPS SAVER'!AC21)*118%</f>
        <v>7962.0525075000005</v>
      </c>
      <c r="AD21" s="67">
        <f>('COST_UPS SAVER'!AD21*'COST_UPS SAVER (Allin)'!$D$3+'COST_UPS SAVER'!AD21)*118%</f>
        <v>13632.478492499999</v>
      </c>
      <c r="AE21" s="67">
        <f>('COST_UPS SAVER'!AE21*'COST_UPS SAVER (Allin)'!$D$3+'COST_UPS SAVER'!AE21)*118%</f>
        <v>13345.792477500001</v>
      </c>
      <c r="AF21" s="67">
        <f>('COST_UPS SAVER'!AF21*'COST_UPS SAVER (Allin)'!$D$3+'COST_UPS SAVER'!AF21)*118%</f>
        <v>13602.692932499998</v>
      </c>
      <c r="AG21" s="68">
        <f>('COST_UPS SAVER'!AG21*'COST_UPS SAVER (Allin)'!$D$3+'COST_UPS SAVER'!AG21)*118%</f>
        <v>13924.749299999999</v>
      </c>
      <c r="AI21" s="22" t="s">
        <v>5</v>
      </c>
      <c r="AJ21" t="s">
        <v>91</v>
      </c>
      <c r="AK21" s="18"/>
      <c r="AL21" s="19"/>
      <c r="AM21" s="5"/>
      <c r="AN21" s="5"/>
      <c r="AO21" s="5"/>
      <c r="AP21" s="5"/>
      <c r="AQ21" s="5"/>
      <c r="AR21" s="1"/>
      <c r="AS21" s="1"/>
      <c r="AT21" s="1"/>
    </row>
    <row r="22" spans="1:46" x14ac:dyDescent="0.25">
      <c r="A22" s="27">
        <v>6.5</v>
      </c>
      <c r="B22" s="66">
        <f>('COST_UPS SAVER'!B22*'COST_UPS SAVER (Allin)'!$D$3+'COST_UPS SAVER'!B22)*118%</f>
        <v>7753.5535874999987</v>
      </c>
      <c r="C22" s="67">
        <f>('COST_UPS SAVER'!C22*'COST_UPS SAVER (Allin)'!$D$3+'COST_UPS SAVER'!C22)*118%</f>
        <v>8226.3993524999987</v>
      </c>
      <c r="D22" s="67">
        <f>('COST_UPS SAVER'!D22*'COST_UPS SAVER (Allin)'!$D$3+'COST_UPS SAVER'!D22)*118%</f>
        <v>8507.500575</v>
      </c>
      <c r="E22" s="67">
        <f>('COST_UPS SAVER'!E22*'COST_UPS SAVER (Allin)'!$D$3+'COST_UPS SAVER'!E22)*118%</f>
        <v>8140.7658675000002</v>
      </c>
      <c r="F22" s="67">
        <f>('COST_UPS SAVER'!F22*'COST_UPS SAVER (Allin)'!$D$3+'COST_UPS SAVER'!F22)*118%</f>
        <v>8207.7833774999981</v>
      </c>
      <c r="G22" s="67">
        <f>('COST_UPS SAVER'!G22*'COST_UPS SAVER (Allin)'!$D$3+'COST_UPS SAVER'!G22)*118%</f>
        <v>8276.6624849999989</v>
      </c>
      <c r="H22" s="67">
        <f>('COST_UPS SAVER'!H22*'COST_UPS SAVER (Allin)'!$D$3+'COST_UPS SAVER'!H22)*118%</f>
        <v>5093.3307599999989</v>
      </c>
      <c r="I22" s="67">
        <f>('COST_UPS SAVER'!I22*'COST_UPS SAVER (Allin)'!$D$3+'COST_UPS SAVER'!I22)*118%</f>
        <v>5288.7984974999999</v>
      </c>
      <c r="J22" s="67">
        <f>('COST_UPS SAVER'!J22*'COST_UPS SAVER (Allin)'!$D$3+'COST_UPS SAVER'!J22)*118%</f>
        <v>5359.5392025000001</v>
      </c>
      <c r="K22" s="67">
        <f>('COST_UPS SAVER'!K22*'COST_UPS SAVER (Allin)'!$D$3+'COST_UPS SAVER'!K22)*118%</f>
        <v>5737.4434950000004</v>
      </c>
      <c r="L22" s="67">
        <f>('COST_UPS SAVER'!L22*'COST_UPS SAVER (Allin)'!$D$3+'COST_UPS SAVER'!L22)*118%</f>
        <v>5999.9287424999984</v>
      </c>
      <c r="M22" s="67">
        <f>('COST_UPS SAVER'!M22*'COST_UPS SAVER (Allin)'!$D$3+'COST_UPS SAVER'!M22)*118%</f>
        <v>6091.1470200000003</v>
      </c>
      <c r="N22" s="67">
        <f>('COST_UPS SAVER'!N22*'COST_UPS SAVER (Allin)'!$D$3+'COST_UPS SAVER'!N22)*118%</f>
        <v>9002.6855099999975</v>
      </c>
      <c r="O22" s="67">
        <f>('COST_UPS SAVER'!O22*'COST_UPS SAVER (Allin)'!$D$3+'COST_UPS SAVER'!O22)*118%</f>
        <v>7455.6979874999988</v>
      </c>
      <c r="P22" s="67">
        <f>('COST_UPS SAVER'!P22*'COST_UPS SAVER (Allin)'!$D$3+'COST_UPS SAVER'!P22)*118%</f>
        <v>8012.3156399999998</v>
      </c>
      <c r="Q22" s="67">
        <f>('COST_UPS SAVER'!Q22*'COST_UPS SAVER (Allin)'!$D$3+'COST_UPS SAVER'!Q22)*118%</f>
        <v>9343.3578524999994</v>
      </c>
      <c r="R22" s="67">
        <f>('COST_UPS SAVER'!R22*'COST_UPS SAVER (Allin)'!$D$3+'COST_UPS SAVER'!R22)*118%</f>
        <v>13961.050451250001</v>
      </c>
      <c r="S22" s="67">
        <f>('COST_UPS SAVER'!S22*'COST_UPS SAVER (Allin)'!$D$3+'COST_UPS SAVER'!S22)*118%</f>
        <v>10912.684544999998</v>
      </c>
      <c r="T22" s="67">
        <f>('COST_UPS SAVER'!T22*'COST_UPS SAVER (Allin)'!$D$3+'COST_UPS SAVER'!T22)*118%</f>
        <v>14912.326773749997</v>
      </c>
      <c r="U22" s="67">
        <f>('COST_UPS SAVER'!U22*'COST_UPS SAVER (Allin)'!$D$3+'COST_UPS SAVER'!U22)*118%</f>
        <v>6582.6087599999992</v>
      </c>
      <c r="V22" s="67">
        <f>('COST_UPS SAVER'!V22*'COST_UPS SAVER (Allin)'!$D$3+'COST_UPS SAVER'!V22)*118%</f>
        <v>11134.214647499999</v>
      </c>
      <c r="W22" s="67">
        <f>('COST_UPS SAVER'!W22*'COST_UPS SAVER (Allin)'!$D$3+'COST_UPS SAVER'!W22)*118%</f>
        <v>14432.965417500001</v>
      </c>
      <c r="X22" s="67">
        <f>('COST_UPS SAVER'!X22*'COST_UPS SAVER (Allin)'!$D$3+'COST_UPS SAVER'!X22)*118%</f>
        <v>14157.4489875</v>
      </c>
      <c r="Y22" s="67">
        <f>('COST_UPS SAVER'!Y22*'COST_UPS SAVER (Allin)'!$D$3+'COST_UPS SAVER'!Y22)*118%</f>
        <v>15008.199045000001</v>
      </c>
      <c r="Z22" s="67">
        <f>('COST_UPS SAVER'!Z22*'COST_UPS SAVER (Allin)'!$D$3+'COST_UPS SAVER'!Z22)*118%</f>
        <v>12670.963383750001</v>
      </c>
      <c r="AA22" s="67">
        <f>('COST_UPS SAVER'!AA22*'COST_UPS SAVER (Allin)'!$D$3+'COST_UPS SAVER'!AA22)*118%</f>
        <v>8352.9879825000007</v>
      </c>
      <c r="AB22" s="67">
        <f>('COST_UPS SAVER'!AB22*'COST_UPS SAVER (Allin)'!$D$3+'COST_UPS SAVER'!AB22)*118%</f>
        <v>8994.3083212499987</v>
      </c>
      <c r="AC22" s="67">
        <f>('COST_UPS SAVER'!AC22*'COST_UPS SAVER (Allin)'!$D$3+'COST_UPS SAVER'!AC22)*118%</f>
        <v>8498.1925874999997</v>
      </c>
      <c r="AD22" s="67">
        <f>('COST_UPS SAVER'!AD22*'COST_UPS SAVER (Allin)'!$D$3+'COST_UPS SAVER'!AD22)*118%</f>
        <v>14342.677938749999</v>
      </c>
      <c r="AE22" s="67">
        <f>('COST_UPS SAVER'!AE22*'COST_UPS SAVER (Allin)'!$D$3+'COST_UPS SAVER'!AE22)*118%</f>
        <v>14192.819340000002</v>
      </c>
      <c r="AF22" s="67">
        <f>('COST_UPS SAVER'!AF22*'COST_UPS SAVER (Allin)'!$D$3+'COST_UPS SAVER'!AF22)*118%</f>
        <v>14354.7783225</v>
      </c>
      <c r="AG22" s="68">
        <f>('COST_UPS SAVER'!AG22*'COST_UPS SAVER (Allin)'!$D$3+'COST_UPS SAVER'!AG22)*118%</f>
        <v>14784.807344999999</v>
      </c>
      <c r="AI22" s="23"/>
      <c r="AJ22" s="13" t="s">
        <v>92</v>
      </c>
      <c r="AK22" s="8"/>
      <c r="AL22" s="8"/>
      <c r="AM22" s="8"/>
      <c r="AN22" s="8"/>
      <c r="AO22" s="8"/>
      <c r="AP22" s="8"/>
      <c r="AQ22" s="8"/>
      <c r="AR22" s="1"/>
      <c r="AS22" s="1"/>
      <c r="AT22" s="1"/>
    </row>
    <row r="23" spans="1:46" x14ac:dyDescent="0.25">
      <c r="A23" s="27">
        <v>7</v>
      </c>
      <c r="B23" s="66">
        <f>('COST_UPS SAVER'!B23*'COST_UPS SAVER (Allin)'!$D$3+'COST_UPS SAVER'!B23)*118%</f>
        <v>8140.7658675000002</v>
      </c>
      <c r="C23" s="67">
        <f>('COST_UPS SAVER'!C23*'COST_UPS SAVER (Allin)'!$D$3+'COST_UPS SAVER'!C23)*118%</f>
        <v>8648.9819849999985</v>
      </c>
      <c r="D23" s="67">
        <f>('COST_UPS SAVER'!D23*'COST_UPS SAVER (Allin)'!$D$3+'COST_UPS SAVER'!D23)*118%</f>
        <v>8946.8375849999975</v>
      </c>
      <c r="E23" s="67">
        <f>('COST_UPS SAVER'!E23*'COST_UPS SAVER (Allin)'!$D$3+'COST_UPS SAVER'!E23)*118%</f>
        <v>8535.4245374999991</v>
      </c>
      <c r="F23" s="67">
        <f>('COST_UPS SAVER'!F23*'COST_UPS SAVER (Allin)'!$D$3+'COST_UPS SAVER'!F23)*118%</f>
        <v>8608.0268400000004</v>
      </c>
      <c r="G23" s="67">
        <f>('COST_UPS SAVER'!G23*'COST_UPS SAVER (Allin)'!$D$3+'COST_UPS SAVER'!G23)*118%</f>
        <v>8678.7675449999988</v>
      </c>
      <c r="H23" s="67">
        <f>('COST_UPS SAVER'!H23*'COST_UPS SAVER (Allin)'!$D$3+'COST_UPS SAVER'!H23)*118%</f>
        <v>5316.72246</v>
      </c>
      <c r="I23" s="67">
        <f>('COST_UPS SAVER'!I23*'COST_UPS SAVER (Allin)'!$D$3+'COST_UPS SAVER'!I23)*118%</f>
        <v>5521.4981849999995</v>
      </c>
      <c r="J23" s="67">
        <f>('COST_UPS SAVER'!J23*'COST_UPS SAVER (Allin)'!$D$3+'COST_UPS SAVER'!J23)*118%</f>
        <v>5597.8236824999985</v>
      </c>
      <c r="K23" s="67">
        <f>('COST_UPS SAVER'!K23*'COST_UPS SAVER (Allin)'!$D$3+'COST_UPS SAVER'!K23)*118%</f>
        <v>5992.4823525000011</v>
      </c>
      <c r="L23" s="67">
        <f>('COST_UPS SAVER'!L23*'COST_UPS SAVER (Allin)'!$D$3+'COST_UPS SAVER'!L23)*118%</f>
        <v>6256.8291974999993</v>
      </c>
      <c r="M23" s="67">
        <f>('COST_UPS SAVER'!M23*'COST_UPS SAVER (Allin)'!$D$3+'COST_UPS SAVER'!M23)*118%</f>
        <v>6351.7706700000008</v>
      </c>
      <c r="N23" s="67">
        <f>('COST_UPS SAVER'!N23*'COST_UPS SAVER (Allin)'!$D$3+'COST_UPS SAVER'!N23)*118%</f>
        <v>9518.3480175000004</v>
      </c>
      <c r="O23" s="67">
        <f>('COST_UPS SAVER'!O23*'COST_UPS SAVER (Allin)'!$D$3+'COST_UPS SAVER'!O23)*118%</f>
        <v>8034.65481</v>
      </c>
      <c r="P23" s="67">
        <f>('COST_UPS SAVER'!P23*'COST_UPS SAVER (Allin)'!$D$3+'COST_UPS SAVER'!P23)*118%</f>
        <v>8420.0054925000004</v>
      </c>
      <c r="Q23" s="67">
        <f>('COST_UPS SAVER'!Q23*'COST_UPS SAVER (Allin)'!$D$3+'COST_UPS SAVER'!Q23)*118%</f>
        <v>9816.2036174999994</v>
      </c>
      <c r="R23" s="67">
        <f>('COST_UPS SAVER'!R23*'COST_UPS SAVER (Allin)'!$D$3+'COST_UPS SAVER'!R23)*118%</f>
        <v>14550.246059999999</v>
      </c>
      <c r="S23" s="67">
        <f>('COST_UPS SAVER'!S23*'COST_UPS SAVER (Allin)'!$D$3+'COST_UPS SAVER'!S23)*118%</f>
        <v>11357.606347499997</v>
      </c>
      <c r="T23" s="67">
        <f>('COST_UPS SAVER'!T23*'COST_UPS SAVER (Allin)'!$D$3+'COST_UPS SAVER'!T23)*118%</f>
        <v>15723.052485000002</v>
      </c>
      <c r="U23" s="67">
        <f>('COST_UPS SAVER'!U23*'COST_UPS SAVER (Allin)'!$D$3+'COST_UPS SAVER'!U23)*118%</f>
        <v>6899.0803349999996</v>
      </c>
      <c r="V23" s="67">
        <f>('COST_UPS SAVER'!V23*'COST_UPS SAVER (Allin)'!$D$3+'COST_UPS SAVER'!V23)*118%</f>
        <v>11670.3547275</v>
      </c>
      <c r="W23" s="67">
        <f>('COST_UPS SAVER'!W23*'COST_UPS SAVER (Allin)'!$D$3+'COST_UPS SAVER'!W23)*118%</f>
        <v>15101.278919999999</v>
      </c>
      <c r="X23" s="67">
        <f>('COST_UPS SAVER'!X23*'COST_UPS SAVER (Allin)'!$D$3+'COST_UPS SAVER'!X23)*118%</f>
        <v>14833.208879999998</v>
      </c>
      <c r="Y23" s="67">
        <f>('COST_UPS SAVER'!Y23*'COST_UPS SAVER (Allin)'!$D$3+'COST_UPS SAVER'!Y23)*118%</f>
        <v>15797.516385000001</v>
      </c>
      <c r="Z23" s="67">
        <f>('COST_UPS SAVER'!Z23*'COST_UPS SAVER (Allin)'!$D$3+'COST_UPS SAVER'!Z23)*118%</f>
        <v>13262.020590000002</v>
      </c>
      <c r="AA23" s="67">
        <f>('COST_UPS SAVER'!AA23*'COST_UPS SAVER (Allin)'!$D$3+'COST_UPS SAVER'!AA23)*118%</f>
        <v>8766.2626274999984</v>
      </c>
      <c r="AB23" s="67">
        <f>('COST_UPS SAVER'!AB23*'COST_UPS SAVER (Allin)'!$D$3+'COST_UPS SAVER'!AB23)*118%</f>
        <v>9456.9152999999969</v>
      </c>
      <c r="AC23" s="67">
        <f>('COST_UPS SAVER'!AC23*'COST_UPS SAVER (Allin)'!$D$3+'COST_UPS SAVER'!AC23)*118%</f>
        <v>8922.6368175000007</v>
      </c>
      <c r="AD23" s="67">
        <f>('COST_UPS SAVER'!AD23*'COST_UPS SAVER (Allin)'!$D$3+'COST_UPS SAVER'!AD23)*118%</f>
        <v>14941.181535</v>
      </c>
      <c r="AE23" s="67">
        <f>('COST_UPS SAVER'!AE23*'COST_UPS SAVER (Allin)'!$D$3+'COST_UPS SAVER'!AE23)*118%</f>
        <v>14928.150352499999</v>
      </c>
      <c r="AF23" s="67">
        <f>('COST_UPS SAVER'!AF23*'COST_UPS SAVER (Allin)'!$D$3+'COST_UPS SAVER'!AF23)*118%</f>
        <v>14997.029460000002</v>
      </c>
      <c r="AG23" s="68">
        <f>('COST_UPS SAVER'!AG23*'COST_UPS SAVER (Allin)'!$D$3+'COST_UPS SAVER'!AG23)*118%</f>
        <v>15536.892735000001</v>
      </c>
      <c r="AI23" s="23"/>
      <c r="AJ23" s="13" t="s">
        <v>93</v>
      </c>
      <c r="AK23" s="8"/>
      <c r="AL23" s="8"/>
      <c r="AM23" s="8"/>
      <c r="AN23" s="8"/>
      <c r="AO23" s="8"/>
      <c r="AP23" s="8"/>
      <c r="AQ23" s="8"/>
      <c r="AR23" s="1"/>
      <c r="AS23" s="1"/>
      <c r="AT23" s="1"/>
    </row>
    <row r="24" spans="1:46" x14ac:dyDescent="0.25">
      <c r="A24" s="27">
        <v>7.5</v>
      </c>
      <c r="B24" s="66">
        <f>('COST_UPS SAVER'!B24*'COST_UPS SAVER (Allin)'!$D$3+'COST_UPS SAVER'!B24)*118%</f>
        <v>8602.4420475000006</v>
      </c>
      <c r="C24" s="67">
        <f>('COST_UPS SAVER'!C24*'COST_UPS SAVER (Allin)'!$D$3+'COST_UPS SAVER'!C24)*118%</f>
        <v>9142.3053225000021</v>
      </c>
      <c r="D24" s="67">
        <f>('COST_UPS SAVER'!D24*'COST_UPS SAVER (Allin)'!$D$3+'COST_UPS SAVER'!D24)*118%</f>
        <v>9460.6384950000011</v>
      </c>
      <c r="E24" s="67">
        <f>('COST_UPS SAVER'!E24*'COST_UPS SAVER (Allin)'!$D$3+'COST_UPS SAVER'!E24)*118%</f>
        <v>9011.9934974999996</v>
      </c>
      <c r="F24" s="67">
        <f>('COST_UPS SAVER'!F24*'COST_UPS SAVER (Allin)'!$D$3+'COST_UPS SAVER'!F24)*118%</f>
        <v>9088.3189949999996</v>
      </c>
      <c r="G24" s="67">
        <f>('COST_UPS SAVER'!G24*'COST_UPS SAVER (Allin)'!$D$3+'COST_UPS SAVER'!G24)*118%</f>
        <v>9162.7828950000003</v>
      </c>
      <c r="H24" s="67">
        <f>('COST_UPS SAVER'!H24*'COST_UPS SAVER (Allin)'!$D$3+'COST_UPS SAVER'!H24)*118%</f>
        <v>5607.1316700000007</v>
      </c>
      <c r="I24" s="67">
        <f>('COST_UPS SAVER'!I24*'COST_UPS SAVER (Allin)'!$D$3+'COST_UPS SAVER'!I24)*118%</f>
        <v>5821.2153825000005</v>
      </c>
      <c r="J24" s="67">
        <f>('COST_UPS SAVER'!J24*'COST_UPS SAVER (Allin)'!$D$3+'COST_UPS SAVER'!J24)*118%</f>
        <v>5895.6792825000002</v>
      </c>
      <c r="K24" s="67">
        <f>('COST_UPS SAVER'!K24*'COST_UPS SAVER (Allin)'!$D$3+'COST_UPS SAVER'!K24)*118%</f>
        <v>6307.0923300000004</v>
      </c>
      <c r="L24" s="67">
        <f>('COST_UPS SAVER'!L24*'COST_UPS SAVER (Allin)'!$D$3+'COST_UPS SAVER'!L24)*118%</f>
        <v>6588.193552499999</v>
      </c>
      <c r="M24" s="67">
        <f>('COST_UPS SAVER'!M24*'COST_UPS SAVER (Allin)'!$D$3+'COST_UPS SAVER'!M24)*118%</f>
        <v>6686.8582200000001</v>
      </c>
      <c r="N24" s="67">
        <f>('COST_UPS SAVER'!N24*'COST_UPS SAVER (Allin)'!$D$3+'COST_UPS SAVER'!N24)*118%</f>
        <v>10102.889632500001</v>
      </c>
      <c r="O24" s="67">
        <f>('COST_UPS SAVER'!O24*'COST_UPS SAVER (Allin)'!$D$3+'COST_UPS SAVER'!O24)*118%</f>
        <v>8509.3621724999994</v>
      </c>
      <c r="P24" s="67">
        <f>('COST_UPS SAVER'!P24*'COST_UPS SAVER (Allin)'!$D$3+'COST_UPS SAVER'!P24)*118%</f>
        <v>8902.1592450000026</v>
      </c>
      <c r="Q24" s="67">
        <f>('COST_UPS SAVER'!Q24*'COST_UPS SAVER (Allin)'!$D$3+'COST_UPS SAVER'!Q24)*118%</f>
        <v>10363.513282499998</v>
      </c>
      <c r="R24" s="67">
        <f>('COST_UPS SAVER'!R24*'COST_UPS SAVER (Allin)'!$D$3+'COST_UPS SAVER'!R24)*118%</f>
        <v>15217.628763749999</v>
      </c>
      <c r="S24" s="67">
        <f>('COST_UPS SAVER'!S24*'COST_UPS SAVER (Allin)'!$D$3+'COST_UPS SAVER'!S24)*118%</f>
        <v>11837.898502500002</v>
      </c>
      <c r="T24" s="67">
        <f>('COST_UPS SAVER'!T24*'COST_UPS SAVER (Allin)'!$D$3+'COST_UPS SAVER'!T24)*118%</f>
        <v>16606.380498750001</v>
      </c>
      <c r="U24" s="67">
        <f>('COST_UPS SAVER'!U24*'COST_UPS SAVER (Allin)'!$D$3+'COST_UPS SAVER'!U24)*118%</f>
        <v>7295.6006025000006</v>
      </c>
      <c r="V24" s="67">
        <f>('COST_UPS SAVER'!V24*'COST_UPS SAVER (Allin)'!$D$3+'COST_UPS SAVER'!V24)*118%</f>
        <v>12284.681902500002</v>
      </c>
      <c r="W24" s="67">
        <f>('COST_UPS SAVER'!W24*'COST_UPS SAVER (Allin)'!$D$3+'COST_UPS SAVER'!W24)*118%</f>
        <v>15834.748335</v>
      </c>
      <c r="X24" s="67">
        <f>('COST_UPS SAVER'!X24*'COST_UPS SAVER (Allin)'!$D$3+'COST_UPS SAVER'!X24)*118%</f>
        <v>15583.432672499999</v>
      </c>
      <c r="Y24" s="67">
        <f>('COST_UPS SAVER'!Y24*'COST_UPS SAVER (Allin)'!$D$3+'COST_UPS SAVER'!Y24)*118%</f>
        <v>16657.574429999997</v>
      </c>
      <c r="Z24" s="67">
        <f>('COST_UPS SAVER'!Z24*'COST_UPS SAVER (Allin)'!$D$3+'COST_UPS SAVER'!Z24)*118%</f>
        <v>14251.459661249999</v>
      </c>
      <c r="AA24" s="67">
        <f>('COST_UPS SAVER'!AA24*'COST_UPS SAVER (Allin)'!$D$3+'COST_UPS SAVER'!AA24)*118%</f>
        <v>9291.233122499998</v>
      </c>
      <c r="AB24" s="67">
        <f>('COST_UPS SAVER'!AB24*'COST_UPS SAVER (Allin)'!$D$3+'COST_UPS SAVER'!AB24)*118%</f>
        <v>10031.218128749999</v>
      </c>
      <c r="AC24" s="67">
        <f>('COST_UPS SAVER'!AC24*'COST_UPS SAVER (Allin)'!$D$3+'COST_UPS SAVER'!AC24)*118%</f>
        <v>9458.7768974999999</v>
      </c>
      <c r="AD24" s="67">
        <f>('COST_UPS SAVER'!AD24*'COST_UPS SAVER (Allin)'!$D$3+'COST_UPS SAVER'!AD24)*118%</f>
        <v>15655.104176249999</v>
      </c>
      <c r="AE24" s="67">
        <f>('COST_UPS SAVER'!AE24*'COST_UPS SAVER (Allin)'!$D$3+'COST_UPS SAVER'!AE24)*118%</f>
        <v>15773.315617499999</v>
      </c>
      <c r="AF24" s="67">
        <f>('COST_UPS SAVER'!AF24*'COST_UPS SAVER (Allin)'!$D$3+'COST_UPS SAVER'!AF24)*118%</f>
        <v>15741.668460000001</v>
      </c>
      <c r="AG24" s="68">
        <f>('COST_UPS SAVER'!AG24*'COST_UPS SAVER (Allin)'!$D$3+'COST_UPS SAVER'!AG24)*118%</f>
        <v>16396.950779999996</v>
      </c>
      <c r="AI24" s="23"/>
      <c r="AJ24" s="8"/>
      <c r="AK24" s="8"/>
      <c r="AL24" s="8"/>
      <c r="AM24" s="8"/>
      <c r="AN24" s="8"/>
      <c r="AO24" s="8"/>
      <c r="AP24" s="8"/>
      <c r="AQ24" s="8"/>
      <c r="AR24" s="1"/>
      <c r="AS24" s="1"/>
      <c r="AT24" s="1"/>
    </row>
    <row r="25" spans="1:46" x14ac:dyDescent="0.25">
      <c r="A25" s="27">
        <v>8</v>
      </c>
      <c r="B25" s="66">
        <f>('COST_UPS SAVER'!B25*'COST_UPS SAVER (Allin)'!$D$3+'COST_UPS SAVER'!B25)*118%</f>
        <v>8965.4535599999981</v>
      </c>
      <c r="C25" s="67">
        <f>('COST_UPS SAVER'!C25*'COST_UPS SAVER (Allin)'!$D$3+'COST_UPS SAVER'!C25)*118%</f>
        <v>9538.8255900000004</v>
      </c>
      <c r="D25" s="67">
        <f>('COST_UPS SAVER'!D25*'COST_UPS SAVER (Allin)'!$D$3+'COST_UPS SAVER'!D25)*118%</f>
        <v>9873.9131399999987</v>
      </c>
      <c r="E25" s="67">
        <f>('COST_UPS SAVER'!E25*'COST_UPS SAVER (Allin)'!$D$3+'COST_UPS SAVER'!E25)*118%</f>
        <v>9414.0985574999995</v>
      </c>
      <c r="F25" s="67">
        <f>('COST_UPS SAVER'!F25*'COST_UPS SAVER (Allin)'!$D$3+'COST_UPS SAVER'!F25)*118%</f>
        <v>9492.2856524999988</v>
      </c>
      <c r="G25" s="67">
        <f>('COST_UPS SAVER'!G25*'COST_UPS SAVER (Allin)'!$D$3+'COST_UPS SAVER'!G25)*118%</f>
        <v>9570.4727475</v>
      </c>
      <c r="H25" s="67">
        <f>('COST_UPS SAVER'!H25*'COST_UPS SAVER (Allin)'!$D$3+'COST_UPS SAVER'!H25)*118%</f>
        <v>5828.6617724999996</v>
      </c>
      <c r="I25" s="67">
        <f>('COST_UPS SAVER'!I25*'COST_UPS SAVER (Allin)'!$D$3+'COST_UPS SAVER'!I25)*118%</f>
        <v>6050.1918749999995</v>
      </c>
      <c r="J25" s="67">
        <f>('COST_UPS SAVER'!J25*'COST_UPS SAVER (Allin)'!$D$3+'COST_UPS SAVER'!J25)*118%</f>
        <v>6135.8253599999998</v>
      </c>
      <c r="K25" s="67">
        <f>('COST_UPS SAVER'!K25*'COST_UPS SAVER (Allin)'!$D$3+'COST_UPS SAVER'!K25)*118%</f>
        <v>6563.9927850000004</v>
      </c>
      <c r="L25" s="67">
        <f>('COST_UPS SAVER'!L25*'COST_UPS SAVER (Allin)'!$D$3+'COST_UPS SAVER'!L25)*118%</f>
        <v>6854.4019950000002</v>
      </c>
      <c r="M25" s="67">
        <f>('COST_UPS SAVER'!M25*'COST_UPS SAVER (Allin)'!$D$3+'COST_UPS SAVER'!M25)*118%</f>
        <v>6956.7898575000008</v>
      </c>
      <c r="N25" s="67">
        <f>('COST_UPS SAVER'!N25*'COST_UPS SAVER (Allin)'!$D$3+'COST_UPS SAVER'!N25)*118%</f>
        <v>10616.6905425</v>
      </c>
      <c r="O25" s="67">
        <f>('COST_UPS SAVER'!O25*'COST_UPS SAVER (Allin)'!$D$3+'COST_UPS SAVER'!O25)*118%</f>
        <v>8918.9136224999984</v>
      </c>
      <c r="P25" s="67">
        <f>('COST_UPS SAVER'!P25*'COST_UPS SAVER (Allin)'!$D$3+'COST_UPS SAVER'!P25)*118%</f>
        <v>9309.8490974999986</v>
      </c>
      <c r="Q25" s="67">
        <f>('COST_UPS SAVER'!Q25*'COST_UPS SAVER (Allin)'!$D$3+'COST_UPS SAVER'!Q25)*118%</f>
        <v>10836.359047499996</v>
      </c>
      <c r="R25" s="67">
        <f>('COST_UPS SAVER'!R25*'COST_UPS SAVER (Allin)'!$D$3+'COST_UPS SAVER'!R25)*118%</f>
        <v>15801.239579999998</v>
      </c>
      <c r="S25" s="67">
        <f>('COST_UPS SAVER'!S25*'COST_UPS SAVER (Allin)'!$D$3+'COST_UPS SAVER'!S25)*118%</f>
        <v>12251.1731475</v>
      </c>
      <c r="T25" s="67">
        <f>('COST_UPS SAVER'!T25*'COST_UPS SAVER (Allin)'!$D$3+'COST_UPS SAVER'!T25)*118%</f>
        <v>17426.414197500002</v>
      </c>
      <c r="U25" s="67">
        <f>('COST_UPS SAVER'!U25*'COST_UPS SAVER (Allin)'!$D$3+'COST_UPS SAVER'!U25)*118%</f>
        <v>7550.6394599999994</v>
      </c>
      <c r="V25" s="67">
        <f>('COST_UPS SAVER'!V25*'COST_UPS SAVER (Allin)'!$D$3+'COST_UPS SAVER'!V25)*118%</f>
        <v>12824.5451775</v>
      </c>
      <c r="W25" s="67">
        <f>('COST_UPS SAVER'!W25*'COST_UPS SAVER (Allin)'!$D$3+'COST_UPS SAVER'!W25)*118%</f>
        <v>16493.753849999997</v>
      </c>
      <c r="X25" s="67">
        <f>('COST_UPS SAVER'!X25*'COST_UPS SAVER (Allin)'!$D$3+'COST_UPS SAVER'!X25)*118%</f>
        <v>16261.054162499999</v>
      </c>
      <c r="Y25" s="67">
        <f>('COST_UPS SAVER'!Y25*'COST_UPS SAVER (Allin)'!$D$3+'COST_UPS SAVER'!Y25)*118%</f>
        <v>17396.628637499998</v>
      </c>
      <c r="Z25" s="67">
        <f>('COST_UPS SAVER'!Z25*'COST_UPS SAVER (Allin)'!$D$3+'COST_UPS SAVER'!Z25)*118%</f>
        <v>14818.3161</v>
      </c>
      <c r="AA25" s="67">
        <f>('COST_UPS SAVER'!AA25*'COST_UPS SAVER (Allin)'!$D$3+'COST_UPS SAVER'!AA25)*118%</f>
        <v>9680.3070000000007</v>
      </c>
      <c r="AB25" s="67">
        <f>('COST_UPS SAVER'!AB25*'COST_UPS SAVER (Allin)'!$D$3+'COST_UPS SAVER'!AB25)*118%</f>
        <v>10469.624340000002</v>
      </c>
      <c r="AC25" s="67">
        <f>('COST_UPS SAVER'!AC25*'COST_UPS SAVER (Allin)'!$D$3+'COST_UPS SAVER'!AC25)*118%</f>
        <v>9859.0203600000004</v>
      </c>
      <c r="AD25" s="67">
        <f>('COST_UPS SAVER'!AD25*'COST_UPS SAVER (Allin)'!$D$3+'COST_UPS SAVER'!AD25)*118%</f>
        <v>16248.022979999998</v>
      </c>
      <c r="AE25" s="67">
        <f>('COST_UPS SAVER'!AE25*'COST_UPS SAVER (Allin)'!$D$3+'COST_UPS SAVER'!AE25)*118%</f>
        <v>16517.9546175</v>
      </c>
      <c r="AF25" s="67">
        <f>('COST_UPS SAVER'!AF25*'COST_UPS SAVER (Allin)'!$D$3+'COST_UPS SAVER'!AF25)*118%</f>
        <v>16374.61161</v>
      </c>
      <c r="AG25" s="68">
        <f>('COST_UPS SAVER'!AG25*'COST_UPS SAVER (Allin)'!$D$3+'COST_UPS SAVER'!AG25)*118%</f>
        <v>17098.773037499999</v>
      </c>
      <c r="AI25" s="22" t="s">
        <v>24</v>
      </c>
      <c r="AJ25" t="s">
        <v>94</v>
      </c>
      <c r="AK25" s="18"/>
      <c r="AL25" s="19"/>
      <c r="AM25" s="5"/>
      <c r="AN25" s="5"/>
      <c r="AO25" s="5"/>
      <c r="AP25" s="5"/>
      <c r="AQ25" s="5"/>
      <c r="AR25" s="1"/>
      <c r="AS25" s="1"/>
      <c r="AT25" s="1"/>
    </row>
    <row r="26" spans="1:46" x14ac:dyDescent="0.25">
      <c r="A26" s="27">
        <v>8.5</v>
      </c>
      <c r="B26" s="66">
        <f>('COST_UPS SAVER'!B26*'COST_UPS SAVER (Allin)'!$D$3+'COST_UPS SAVER'!B26)*118%</f>
        <v>9391.7593874999984</v>
      </c>
      <c r="C26" s="67">
        <f>('COST_UPS SAVER'!C26*'COST_UPS SAVER (Allin)'!$D$3+'COST_UPS SAVER'!C26)*118%</f>
        <v>9998.6401724999996</v>
      </c>
      <c r="D26" s="67">
        <f>('COST_UPS SAVER'!D26*'COST_UPS SAVER (Allin)'!$D$3+'COST_UPS SAVER'!D26)*118%</f>
        <v>10350.482099999997</v>
      </c>
      <c r="E26" s="67">
        <f>('COST_UPS SAVER'!E26*'COST_UPS SAVER (Allin)'!$D$3+'COST_UPS SAVER'!E26)*118%</f>
        <v>9883.2211274999991</v>
      </c>
      <c r="F26" s="67">
        <f>('COST_UPS SAVER'!F26*'COST_UPS SAVER (Allin)'!$D$3+'COST_UPS SAVER'!F26)*118%</f>
        <v>9965.1314175000025</v>
      </c>
      <c r="G26" s="67">
        <f>('COST_UPS SAVER'!G26*'COST_UPS SAVER (Allin)'!$D$3+'COST_UPS SAVER'!G26)*118%</f>
        <v>10047.041707499999</v>
      </c>
      <c r="H26" s="67">
        <f>('COST_UPS SAVER'!H26*'COST_UPS SAVER (Allin)'!$D$3+'COST_UPS SAVER'!H26)*118%</f>
        <v>6120.9325799999997</v>
      </c>
      <c r="I26" s="67">
        <f>('COST_UPS SAVER'!I26*'COST_UPS SAVER (Allin)'!$D$3+'COST_UPS SAVER'!I26)*118%</f>
        <v>6351.7706700000008</v>
      </c>
      <c r="J26" s="67">
        <f>('COST_UPS SAVER'!J26*'COST_UPS SAVER (Allin)'!$D$3+'COST_UPS SAVER'!J26)*118%</f>
        <v>6431.8193624999985</v>
      </c>
      <c r="K26" s="67">
        <f>('COST_UPS SAVER'!K26*'COST_UPS SAVER (Allin)'!$D$3+'COST_UPS SAVER'!K26)*118%</f>
        <v>6878.6027624999997</v>
      </c>
      <c r="L26" s="67">
        <f>('COST_UPS SAVER'!L26*'COST_UPS SAVER (Allin)'!$D$3+'COST_UPS SAVER'!L26)*118%</f>
        <v>7183.9047524999996</v>
      </c>
      <c r="M26" s="67">
        <f>('COST_UPS SAVER'!M26*'COST_UPS SAVER (Allin)'!$D$3+'COST_UPS SAVER'!M26)*118%</f>
        <v>7290.0158099999981</v>
      </c>
      <c r="N26" s="67">
        <f>('COST_UPS SAVER'!N26*'COST_UPS SAVER (Allin)'!$D$3+'COST_UPS SAVER'!N26)*118%</f>
        <v>11199.370559999999</v>
      </c>
      <c r="O26" s="67">
        <f>('COST_UPS SAVER'!O26*'COST_UPS SAVER (Allin)'!$D$3+'COST_UPS SAVER'!O26)*118%</f>
        <v>9408.5137649999997</v>
      </c>
      <c r="P26" s="67">
        <f>('COST_UPS SAVER'!P26*'COST_UPS SAVER (Allin)'!$D$3+'COST_UPS SAVER'!P26)*118%</f>
        <v>9790.1412524999978</v>
      </c>
      <c r="Q26" s="67">
        <f>('COST_UPS SAVER'!Q26*'COST_UPS SAVER (Allin)'!$D$3+'COST_UPS SAVER'!Q26)*118%</f>
        <v>11651.738752500001</v>
      </c>
      <c r="R26" s="67">
        <f>('COST_UPS SAVER'!R26*'COST_UPS SAVER (Allin)'!$D$3+'COST_UPS SAVER'!R26)*118%</f>
        <v>16468.622283749999</v>
      </c>
      <c r="S26" s="67">
        <f>('COST_UPS SAVER'!S26*'COST_UPS SAVER (Allin)'!$D$3+'COST_UPS SAVER'!S26)*118%</f>
        <v>12744.496484999996</v>
      </c>
      <c r="T26" s="67">
        <f>('COST_UPS SAVER'!T26*'COST_UPS SAVER (Allin)'!$D$3+'COST_UPS SAVER'!T26)*118%</f>
        <v>18307.88061375</v>
      </c>
      <c r="U26" s="67">
        <f>('COST_UPS SAVER'!U26*'COST_UPS SAVER (Allin)'!$D$3+'COST_UPS SAVER'!U26)*118%</f>
        <v>7883.8654124999994</v>
      </c>
      <c r="V26" s="67">
        <f>('COST_UPS SAVER'!V26*'COST_UPS SAVER (Allin)'!$D$3+'COST_UPS SAVER'!V26)*118%</f>
        <v>13427.702767500001</v>
      </c>
      <c r="W26" s="67">
        <f>('COST_UPS SAVER'!W26*'COST_UPS SAVER (Allin)'!$D$3+'COST_UPS SAVER'!W26)*118%</f>
        <v>17214.192082499998</v>
      </c>
      <c r="X26" s="67">
        <f>('COST_UPS SAVER'!X26*'COST_UPS SAVER (Allin)'!$D$3+'COST_UPS SAVER'!X26)*118%</f>
        <v>17013.139552500001</v>
      </c>
      <c r="Y26" s="67">
        <f>('COST_UPS SAVER'!Y26*'COST_UPS SAVER (Allin)'!$D$3+'COST_UPS SAVER'!Y26)*118%</f>
        <v>18191.530770000001</v>
      </c>
      <c r="Z26" s="67">
        <f>('COST_UPS SAVER'!Z26*'COST_UPS SAVER (Allin)'!$D$3+'COST_UPS SAVER'!Z26)*118%</f>
        <v>15772.384818749997</v>
      </c>
      <c r="AA26" s="67">
        <f>('COST_UPS SAVER'!AA26*'COST_UPS SAVER (Allin)'!$D$3+'COST_UPS SAVER'!AA26)*118%</f>
        <v>10169.907142499998</v>
      </c>
      <c r="AB26" s="67">
        <f>('COST_UPS SAVER'!AB26*'COST_UPS SAVER (Allin)'!$D$3+'COST_UPS SAVER'!AB26)*118%</f>
        <v>11008.556816249999</v>
      </c>
      <c r="AC26" s="67">
        <f>('COST_UPS SAVER'!AC26*'COST_UPS SAVER (Allin)'!$D$3+'COST_UPS SAVER'!AC26)*118%</f>
        <v>10359.790087499998</v>
      </c>
      <c r="AD26" s="67">
        <f>('COST_UPS SAVER'!AD26*'COST_UPS SAVER (Allin)'!$D$3+'COST_UPS SAVER'!AD26)*118%</f>
        <v>16961.945621250001</v>
      </c>
      <c r="AE26" s="67">
        <f>('COST_UPS SAVER'!AE26*'COST_UPS SAVER (Allin)'!$D$3+'COST_UPS SAVER'!AE26)*118%</f>
        <v>17361.258285</v>
      </c>
      <c r="AF26" s="67">
        <f>('COST_UPS SAVER'!AF26*'COST_UPS SAVER (Allin)'!$D$3+'COST_UPS SAVER'!AF26)*118%</f>
        <v>17106.2194275</v>
      </c>
      <c r="AG26" s="68">
        <f>('COST_UPS SAVER'!AG26*'COST_UPS SAVER (Allin)'!$D$3+'COST_UPS SAVER'!AG26)*118%</f>
        <v>17893.675169999995</v>
      </c>
      <c r="AI26" s="23"/>
      <c r="AJ26" s="13" t="s">
        <v>95</v>
      </c>
      <c r="AK26" s="8"/>
      <c r="AL26" s="8"/>
      <c r="AM26" s="8"/>
      <c r="AN26" s="8"/>
      <c r="AO26" s="8"/>
      <c r="AP26" s="8"/>
      <c r="AQ26" s="8"/>
      <c r="AR26" s="1"/>
      <c r="AS26" s="1"/>
      <c r="AT26" s="1"/>
    </row>
    <row r="27" spans="1:46" x14ac:dyDescent="0.25">
      <c r="A27" s="27">
        <v>9</v>
      </c>
      <c r="B27" s="66">
        <f>('COST_UPS SAVER'!B27*'COST_UPS SAVER (Allin)'!$D$3+'COST_UPS SAVER'!B27)*118%</f>
        <v>9734.2933274999996</v>
      </c>
      <c r="C27" s="67">
        <f>('COST_UPS SAVER'!C27*'COST_UPS SAVER (Allin)'!$D$3+'COST_UPS SAVER'!C27)*118%</f>
        <v>10372.821269999999</v>
      </c>
      <c r="D27" s="67">
        <f>('COST_UPS SAVER'!D27*'COST_UPS SAVER (Allin)'!$D$3+'COST_UPS SAVER'!D27)*118%</f>
        <v>10743.279172499999</v>
      </c>
      <c r="E27" s="67">
        <f>('COST_UPS SAVER'!E27*'COST_UPS SAVER (Allin)'!$D$3+'COST_UPS SAVER'!E27)*118%</f>
        <v>10279.741394999999</v>
      </c>
      <c r="F27" s="67">
        <f>('COST_UPS SAVER'!F27*'COST_UPS SAVER (Allin)'!$D$3+'COST_UPS SAVER'!F27)*118%</f>
        <v>10365.374880000001</v>
      </c>
      <c r="G27" s="67">
        <f>('COST_UPS SAVER'!G27*'COST_UPS SAVER (Allin)'!$D$3+'COST_UPS SAVER'!G27)*118%</f>
        <v>10449.1467675</v>
      </c>
      <c r="H27" s="67">
        <f>('COST_UPS SAVER'!H27*'COST_UPS SAVER (Allin)'!$D$3+'COST_UPS SAVER'!H27)*118%</f>
        <v>6340.6010850000002</v>
      </c>
      <c r="I27" s="67">
        <f>('COST_UPS SAVER'!I27*'COST_UPS SAVER (Allin)'!$D$3+'COST_UPS SAVER'!I27)*118%</f>
        <v>6580.7471624999998</v>
      </c>
      <c r="J27" s="67">
        <f>('COST_UPS SAVER'!J27*'COST_UPS SAVER (Allin)'!$D$3+'COST_UPS SAVER'!J27)*118%</f>
        <v>6666.3806474999992</v>
      </c>
      <c r="K27" s="67">
        <f>('COST_UPS SAVER'!K27*'COST_UPS SAVER (Allin)'!$D$3+'COST_UPS SAVER'!K27)*118%</f>
        <v>7129.9184249999989</v>
      </c>
      <c r="L27" s="67">
        <f>('COST_UPS SAVER'!L27*'COST_UPS SAVER (Allin)'!$D$3+'COST_UPS SAVER'!L27)*118%</f>
        <v>7450.113194999999</v>
      </c>
      <c r="M27" s="67">
        <f>('COST_UPS SAVER'!M27*'COST_UPS SAVER (Allin)'!$D$3+'COST_UPS SAVER'!M27)*118%</f>
        <v>7559.9474474999997</v>
      </c>
      <c r="N27" s="67">
        <f>('COST_UPS SAVER'!N27*'COST_UPS SAVER (Allin)'!$D$3+'COST_UPS SAVER'!N27)*118%</f>
        <v>11713.171469999999</v>
      </c>
      <c r="O27" s="67">
        <f>('COST_UPS SAVER'!O27*'COST_UPS SAVER (Allin)'!$D$3+'COST_UPS SAVER'!O27)*118%</f>
        <v>9821.788410000001</v>
      </c>
      <c r="P27" s="67">
        <f>('COST_UPS SAVER'!P27*'COST_UPS SAVER (Allin)'!$D$3+'COST_UPS SAVER'!P27)*118%</f>
        <v>10197.831104999999</v>
      </c>
      <c r="Q27" s="67">
        <f>('COST_UPS SAVER'!Q27*'COST_UPS SAVER (Allin)'!$D$3+'COST_UPS SAVER'!Q27)*118%</f>
        <v>12139.477297499996</v>
      </c>
      <c r="R27" s="67">
        <f>('COST_UPS SAVER'!R27*'COST_UPS SAVER (Allin)'!$D$3+'COST_UPS SAVER'!R27)*118%</f>
        <v>17063.402685000001</v>
      </c>
      <c r="S27" s="67">
        <f>('COST_UPS SAVER'!S27*'COST_UPS SAVER (Allin)'!$D$3+'COST_UPS SAVER'!S27)*118%</f>
        <v>13157.771129999997</v>
      </c>
      <c r="T27" s="67">
        <f>('COST_UPS SAVER'!T27*'COST_UPS SAVER (Allin)'!$D$3+'COST_UPS SAVER'!T27)*118%</f>
        <v>19120.4679225</v>
      </c>
      <c r="U27" s="67">
        <f>('COST_UPS SAVER'!U27*'COST_UPS SAVER (Allin)'!$D$3+'COST_UPS SAVER'!U27)*118%</f>
        <v>8138.90427</v>
      </c>
      <c r="V27" s="67">
        <f>('COST_UPS SAVER'!V27*'COST_UPS SAVER (Allin)'!$D$3+'COST_UPS SAVER'!V27)*118%</f>
        <v>13971.289237499999</v>
      </c>
      <c r="W27" s="67">
        <f>('COST_UPS SAVER'!W27*'COST_UPS SAVER (Allin)'!$D$3+'COST_UPS SAVER'!W27)*118%</f>
        <v>17863.889610000002</v>
      </c>
      <c r="X27" s="67">
        <f>('COST_UPS SAVER'!X27*'COST_UPS SAVER (Allin)'!$D$3+'COST_UPS SAVER'!X27)*118%</f>
        <v>17688.899444999999</v>
      </c>
      <c r="Y27" s="67">
        <f>('COST_UPS SAVER'!Y27*'COST_UPS SAVER (Allin)'!$D$3+'COST_UPS SAVER'!Y27)*118%</f>
        <v>18891.491429999998</v>
      </c>
      <c r="Z27" s="67">
        <f>('COST_UPS SAVER'!Z27*'COST_UPS SAVER (Allin)'!$D$3+'COST_UPS SAVER'!Z27)*118%</f>
        <v>16318.763685000002</v>
      </c>
      <c r="AA27" s="67">
        <f>('COST_UPS SAVER'!AA27*'COST_UPS SAVER (Allin)'!$D$3+'COST_UPS SAVER'!AA27)*118%</f>
        <v>10538.503447499999</v>
      </c>
      <c r="AB27" s="67">
        <f>('COST_UPS SAVER'!AB27*'COST_UPS SAVER (Allin)'!$D$3+'COST_UPS SAVER'!AB27)*118%</f>
        <v>11426.485455000002</v>
      </c>
      <c r="AC27" s="67">
        <f>('COST_UPS SAVER'!AC27*'COST_UPS SAVER (Allin)'!$D$3+'COST_UPS SAVER'!AC27)*118%</f>
        <v>10739.5559775</v>
      </c>
      <c r="AD27" s="67">
        <f>('COST_UPS SAVER'!AD27*'COST_UPS SAVER (Allin)'!$D$3+'COST_UPS SAVER'!AD27)*118%</f>
        <v>17566.034009999999</v>
      </c>
      <c r="AE27" s="67">
        <f>('COST_UPS SAVER'!AE27*'COST_UPS SAVER (Allin)'!$D$3+'COST_UPS SAVER'!AE27)*118%</f>
        <v>18098.450894999994</v>
      </c>
      <c r="AF27" s="67">
        <f>('COST_UPS SAVER'!AF27*'COST_UPS SAVER (Allin)'!$D$3+'COST_UPS SAVER'!AF27)*118%</f>
        <v>17729.854589999999</v>
      </c>
      <c r="AG27" s="68">
        <f>('COST_UPS SAVER'!AG27*'COST_UPS SAVER (Allin)'!$D$3+'COST_UPS SAVER'!AG27)*118%</f>
        <v>18556.403879999994</v>
      </c>
      <c r="AI27" s="23"/>
      <c r="AJ27" s="8"/>
      <c r="AK27" s="8"/>
      <c r="AL27" s="8"/>
      <c r="AM27" s="8"/>
      <c r="AN27" s="8"/>
      <c r="AO27" s="8"/>
      <c r="AP27" s="8"/>
      <c r="AQ27" s="8"/>
      <c r="AR27" s="1"/>
      <c r="AS27" s="1"/>
      <c r="AT27" s="1"/>
    </row>
    <row r="28" spans="1:46" x14ac:dyDescent="0.25">
      <c r="A28" s="27">
        <v>9.5</v>
      </c>
      <c r="B28" s="66">
        <f>('COST_UPS SAVER'!B28*'COST_UPS SAVER (Allin)'!$D$3+'COST_UPS SAVER'!B28)*118%</f>
        <v>10149.42957</v>
      </c>
      <c r="C28" s="67">
        <f>('COST_UPS SAVER'!C28*'COST_UPS SAVER (Allin)'!$D$3+'COST_UPS SAVER'!C28)*118%</f>
        <v>10819.604670000001</v>
      </c>
      <c r="D28" s="67">
        <f>('COST_UPS SAVER'!D28*'COST_UPS SAVER (Allin)'!$D$3+'COST_UPS SAVER'!D28)*118%</f>
        <v>11208.6785475</v>
      </c>
      <c r="E28" s="67">
        <f>('COST_UPS SAVER'!E28*'COST_UPS SAVER (Allin)'!$D$3+'COST_UPS SAVER'!E28)*118%</f>
        <v>10733.971185</v>
      </c>
      <c r="F28" s="67">
        <f>('COST_UPS SAVER'!F28*'COST_UPS SAVER (Allin)'!$D$3+'COST_UPS SAVER'!F28)*118%</f>
        <v>10821.466267500002</v>
      </c>
      <c r="G28" s="67">
        <f>('COST_UPS SAVER'!G28*'COST_UPS SAVER (Allin)'!$D$3+'COST_UPS SAVER'!G28)*118%</f>
        <v>10910.822947499999</v>
      </c>
      <c r="H28" s="67">
        <f>('COST_UPS SAVER'!H28*'COST_UPS SAVER (Allin)'!$D$3+'COST_UPS SAVER'!H28)*118%</f>
        <v>6627.2870999999986</v>
      </c>
      <c r="I28" s="67">
        <f>('COST_UPS SAVER'!I28*'COST_UPS SAVER (Allin)'!$D$3+'COST_UPS SAVER'!I28)*118%</f>
        <v>6874.8795675000001</v>
      </c>
      <c r="J28" s="67">
        <f>('COST_UPS SAVER'!J28*'COST_UPS SAVER (Allin)'!$D$3+'COST_UPS SAVER'!J28)*118%</f>
        <v>6973.5442350000003</v>
      </c>
      <c r="K28" s="67">
        <f>('COST_UPS SAVER'!K28*'COST_UPS SAVER (Allin)'!$D$3+'COST_UPS SAVER'!K28)*118%</f>
        <v>7455.6979874999988</v>
      </c>
      <c r="L28" s="67">
        <f>('COST_UPS SAVER'!L28*'COST_UPS SAVER (Allin)'!$D$3+'COST_UPS SAVER'!L28)*118%</f>
        <v>7770.3079649999991</v>
      </c>
      <c r="M28" s="67">
        <f>('COST_UPS SAVER'!M28*'COST_UPS SAVER (Allin)'!$D$3+'COST_UPS SAVER'!M28)*118%</f>
        <v>7885.7270099999987</v>
      </c>
      <c r="N28" s="67">
        <f>('COST_UPS SAVER'!N28*'COST_UPS SAVER (Allin)'!$D$3+'COST_UPS SAVER'!N28)*118%</f>
        <v>12295.8514875</v>
      </c>
      <c r="O28" s="67">
        <f>('COST_UPS SAVER'!O28*'COST_UPS SAVER (Allin)'!$D$3+'COST_UPS SAVER'!O28)*118%</f>
        <v>10311.388552499999</v>
      </c>
      <c r="P28" s="67">
        <f>('COST_UPS SAVER'!P28*'COST_UPS SAVER (Allin)'!$D$3+'COST_UPS SAVER'!P28)*118%</f>
        <v>10665.0920775</v>
      </c>
      <c r="Q28" s="67">
        <f>('COST_UPS SAVER'!Q28*'COST_UPS SAVER (Allin)'!$D$3+'COST_UPS SAVER'!Q28)*118%</f>
        <v>12684.925365000001</v>
      </c>
      <c r="R28" s="67">
        <f>('COST_UPS SAVER'!R28*'COST_UPS SAVER (Allin)'!$D$3+'COST_UPS SAVER'!R28)*118%</f>
        <v>17723.338998749994</v>
      </c>
      <c r="S28" s="67">
        <f>('COST_UPS SAVER'!S28*'COST_UPS SAVER (Allin)'!$D$3+'COST_UPS SAVER'!S28)*118%</f>
        <v>13645.509674999998</v>
      </c>
      <c r="T28" s="67">
        <f>('COST_UPS SAVER'!T28*'COST_UPS SAVER (Allin)'!$D$3+'COST_UPS SAVER'!T28)*118%</f>
        <v>19983.318363750001</v>
      </c>
      <c r="U28" s="67">
        <f>('COST_UPS SAVER'!U28*'COST_UPS SAVER (Allin)'!$D$3+'COST_UPS SAVER'!U28)*118%</f>
        <v>8475.8534175000004</v>
      </c>
      <c r="V28" s="67">
        <f>('COST_UPS SAVER'!V28*'COST_UPS SAVER (Allin)'!$D$3+'COST_UPS SAVER'!V28)*118%</f>
        <v>14576.308424999997</v>
      </c>
      <c r="W28" s="67">
        <f>('COST_UPS SAVER'!W28*'COST_UPS SAVER (Allin)'!$D$3+'COST_UPS SAVER'!W28)*118%</f>
        <v>18591.7742325</v>
      </c>
      <c r="X28" s="67">
        <f>('COST_UPS SAVER'!X28*'COST_UPS SAVER (Allin)'!$D$3+'COST_UPS SAVER'!X28)*118%</f>
        <v>18439.1232375</v>
      </c>
      <c r="Y28" s="67">
        <f>('COST_UPS SAVER'!Y28*'COST_UPS SAVER (Allin)'!$D$3+'COST_UPS SAVER'!Y28)*118%</f>
        <v>19662.192795000003</v>
      </c>
      <c r="Z28" s="67">
        <f>('COST_UPS SAVER'!Z28*'COST_UPS SAVER (Allin)'!$D$3+'COST_UPS SAVER'!Z28)*118%</f>
        <v>17261.662818749999</v>
      </c>
      <c r="AA28" s="67">
        <f>('COST_UPS SAVER'!AA28*'COST_UPS SAVER (Allin)'!$D$3+'COST_UPS SAVER'!AA28)*118%</f>
        <v>11016.934004999999</v>
      </c>
      <c r="AB28" s="67">
        <f>('COST_UPS SAVER'!AB28*'COST_UPS SAVER (Allin)'!$D$3+'COST_UPS SAVER'!AB28)*118%</f>
        <v>11954.24834625</v>
      </c>
      <c r="AC28" s="67">
        <f>('COST_UPS SAVER'!AC28*'COST_UPS SAVER (Allin)'!$D$3+'COST_UPS SAVER'!AC28)*118%</f>
        <v>11229.156119999998</v>
      </c>
      <c r="AD28" s="67">
        <f>('COST_UPS SAVER'!AD28*'COST_UPS SAVER (Allin)'!$D$3+'COST_UPS SAVER'!AD28)*118%</f>
        <v>18272.510261250001</v>
      </c>
      <c r="AE28" s="67">
        <f>('COST_UPS SAVER'!AE28*'COST_UPS SAVER (Allin)'!$D$3+'COST_UPS SAVER'!AE28)*118%</f>
        <v>18923.138587499998</v>
      </c>
      <c r="AF28" s="67">
        <f>('COST_UPS SAVER'!AF28*'COST_UPS SAVER (Allin)'!$D$3+'COST_UPS SAVER'!AF28)*118%</f>
        <v>18468.908797499997</v>
      </c>
      <c r="AG28" s="68">
        <f>('COST_UPS SAVER'!AG28*'COST_UPS SAVER (Allin)'!$D$3+'COST_UPS SAVER'!AG28)*118%</f>
        <v>19327.105244999999</v>
      </c>
      <c r="AI28" s="22" t="s">
        <v>25</v>
      </c>
      <c r="AJ28" t="s">
        <v>96</v>
      </c>
      <c r="AK28" s="18"/>
      <c r="AL28" s="19"/>
      <c r="AM28" s="5"/>
      <c r="AN28" s="5"/>
      <c r="AO28" s="5"/>
      <c r="AP28" s="8"/>
      <c r="AQ28" s="8"/>
      <c r="AR28" s="1"/>
      <c r="AS28" s="1"/>
      <c r="AT28" s="1"/>
    </row>
    <row r="29" spans="1:46" x14ac:dyDescent="0.25">
      <c r="A29" s="27">
        <v>10</v>
      </c>
      <c r="B29" s="66">
        <f>('COST_UPS SAVER'!B29*'COST_UPS SAVER (Allin)'!$D$3+'COST_UPS SAVER'!B29)*118%</f>
        <v>10490.1019125</v>
      </c>
      <c r="C29" s="67">
        <f>('COST_UPS SAVER'!C29*'COST_UPS SAVER (Allin)'!$D$3+'COST_UPS SAVER'!C29)*118%</f>
        <v>11193.785767500001</v>
      </c>
      <c r="D29" s="67">
        <f>('COST_UPS SAVER'!D29*'COST_UPS SAVER (Allin)'!$D$3+'COST_UPS SAVER'!D29)*118%</f>
        <v>11597.752424999999</v>
      </c>
      <c r="E29" s="67">
        <f>('COST_UPS SAVER'!E29*'COST_UPS SAVER (Allin)'!$D$3+'COST_UPS SAVER'!E29)*118%</f>
        <v>11096.9826975</v>
      </c>
      <c r="F29" s="67">
        <f>('COST_UPS SAVER'!F29*'COST_UPS SAVER (Allin)'!$D$3+'COST_UPS SAVER'!F29)*118%</f>
        <v>11188.200975</v>
      </c>
      <c r="G29" s="67">
        <f>('COST_UPS SAVER'!G29*'COST_UPS SAVER (Allin)'!$D$3+'COST_UPS SAVER'!G29)*118%</f>
        <v>11279.419252499998</v>
      </c>
      <c r="H29" s="67">
        <f>('COST_UPS SAVER'!H29*'COST_UPS SAVER (Allin)'!$D$3+'COST_UPS SAVER'!H29)*118%</f>
        <v>6858.1251899999988</v>
      </c>
      <c r="I29" s="67">
        <f>('COST_UPS SAVER'!I29*'COST_UPS SAVER (Allin)'!$D$3+'COST_UPS SAVER'!I29)*118%</f>
        <v>7116.8872424999981</v>
      </c>
      <c r="J29" s="67">
        <f>('COST_UPS SAVER'!J29*'COST_UPS SAVER (Allin)'!$D$3+'COST_UPS SAVER'!J29)*118%</f>
        <v>7208.1055200000001</v>
      </c>
      <c r="K29" s="67">
        <f>('COST_UPS SAVER'!K29*'COST_UPS SAVER (Allin)'!$D$3+'COST_UPS SAVER'!K29)*118%</f>
        <v>7707.0136499999999</v>
      </c>
      <c r="L29" s="67">
        <f>('COST_UPS SAVER'!L29*'COST_UPS SAVER (Allin)'!$D$3+'COST_UPS SAVER'!L29)*118%</f>
        <v>8040.2396024999989</v>
      </c>
      <c r="M29" s="67">
        <f>('COST_UPS SAVER'!M29*'COST_UPS SAVER (Allin)'!$D$3+'COST_UPS SAVER'!M29)*118%</f>
        <v>8159.3818425000009</v>
      </c>
      <c r="N29" s="67">
        <f>('COST_UPS SAVER'!N29*'COST_UPS SAVER (Allin)'!$D$3+'COST_UPS SAVER'!N29)*118%</f>
        <v>12805.9292025</v>
      </c>
      <c r="O29" s="67">
        <f>('COST_UPS SAVER'!O29*'COST_UPS SAVER (Allin)'!$D$3+'COST_UPS SAVER'!O29)*118%</f>
        <v>10745.140769999998</v>
      </c>
      <c r="P29" s="67">
        <f>('COST_UPS SAVER'!P29*'COST_UPS SAVER (Allin)'!$D$3+'COST_UPS SAVER'!P29)*118%</f>
        <v>11953.317547499999</v>
      </c>
      <c r="Q29" s="67">
        <f>('COST_UPS SAVER'!Q29*'COST_UPS SAVER (Allin)'!$D$3+'COST_UPS SAVER'!Q29)*118%</f>
        <v>13273.190174999998</v>
      </c>
      <c r="R29" s="67">
        <f>('COST_UPS SAVER'!R29*'COST_UPS SAVER (Allin)'!$D$3+'COST_UPS SAVER'!R29)*118%</f>
        <v>18347.904960000003</v>
      </c>
      <c r="S29" s="67">
        <f>('COST_UPS SAVER'!S29*'COST_UPS SAVER (Allin)'!$D$3+'COST_UPS SAVER'!S29)*118%</f>
        <v>14060.6459175</v>
      </c>
      <c r="T29" s="67">
        <f>('COST_UPS SAVER'!T29*'COST_UPS SAVER (Allin)'!$D$3+'COST_UPS SAVER'!T29)*118%</f>
        <v>20773.566502499998</v>
      </c>
      <c r="U29" s="67">
        <f>('COST_UPS SAVER'!U29*'COST_UPS SAVER (Allin)'!$D$3+'COST_UPS SAVER'!U29)*118%</f>
        <v>8736.4770675</v>
      </c>
      <c r="V29" s="67">
        <f>('COST_UPS SAVER'!V29*'COST_UPS SAVER (Allin)'!$D$3+'COST_UPS SAVER'!V29)*118%</f>
        <v>15118.033297499998</v>
      </c>
      <c r="W29" s="67">
        <f>('COST_UPS SAVER'!W29*'COST_UPS SAVER (Allin)'!$D$3+'COST_UPS SAVER'!W29)*118%</f>
        <v>19239.610162500001</v>
      </c>
      <c r="X29" s="67">
        <f>('COST_UPS SAVER'!X29*'COST_UPS SAVER (Allin)'!$D$3+'COST_UPS SAVER'!X29)*118%</f>
        <v>19116.744727500005</v>
      </c>
      <c r="Y29" s="67">
        <f>('COST_UPS SAVER'!Y29*'COST_UPS SAVER (Allin)'!$D$3+'COST_UPS SAVER'!Y29)*118%</f>
        <v>20358.430259999997</v>
      </c>
      <c r="Z29" s="67">
        <f>('COST_UPS SAVER'!Z29*'COST_UPS SAVER (Allin)'!$D$3+'COST_UPS SAVER'!Z29)*118%</f>
        <v>17806.180087499997</v>
      </c>
      <c r="AA29" s="67">
        <f>('COST_UPS SAVER'!AA29*'COST_UPS SAVER (Allin)'!$D$3+'COST_UPS SAVER'!AA29)*118%</f>
        <v>11383.668712499999</v>
      </c>
      <c r="AB29" s="67">
        <f>('COST_UPS SAVER'!AB29*'COST_UPS SAVER (Allin)'!$D$3+'COST_UPS SAVER'!AB29)*118%</f>
        <v>12370.315387499999</v>
      </c>
      <c r="AC29" s="67">
        <f>('COST_UPS SAVER'!AC29*'COST_UPS SAVER (Allin)'!$D$3+'COST_UPS SAVER'!AC29)*118%</f>
        <v>11607.060412500001</v>
      </c>
      <c r="AD29" s="67">
        <f>('COST_UPS SAVER'!AD29*'COST_UPS SAVER (Allin)'!$D$3+'COST_UPS SAVER'!AD29)*118%</f>
        <v>18906.384209999997</v>
      </c>
      <c r="AE29" s="67">
        <f>('COST_UPS SAVER'!AE29*'COST_UPS SAVER (Allin)'!$D$3+'COST_UPS SAVER'!AE29)*118%</f>
        <v>19637.9920275</v>
      </c>
      <c r="AF29" s="67">
        <f>('COST_UPS SAVER'!AF29*'COST_UPS SAVER (Allin)'!$D$3+'COST_UPS SAVER'!AF29)*118%</f>
        <v>19090.6823625</v>
      </c>
      <c r="AG29" s="68">
        <f>('COST_UPS SAVER'!AG29*'COST_UPS SAVER (Allin)'!$D$3+'COST_UPS SAVER'!AG29)*118%</f>
        <v>19986.110760000003</v>
      </c>
      <c r="AI29" s="23"/>
      <c r="AJ29" s="8"/>
      <c r="AK29" s="8"/>
      <c r="AL29" s="8"/>
      <c r="AM29" s="8"/>
      <c r="AN29" s="8"/>
      <c r="AO29" s="8"/>
      <c r="AP29" s="5"/>
      <c r="AQ29" s="5"/>
      <c r="AR29" s="1"/>
      <c r="AS29" s="1"/>
      <c r="AT29" s="1"/>
    </row>
    <row r="30" spans="1:46" x14ac:dyDescent="0.25">
      <c r="A30" s="27">
        <v>10.5</v>
      </c>
      <c r="B30" s="66">
        <f>('COST_UPS SAVER'!B30*'COST_UPS SAVER (Allin)'!$D$3+'COST_UPS SAVER'!B30)*118%</f>
        <v>10882.898984999996</v>
      </c>
      <c r="C30" s="67">
        <f>('COST_UPS SAVER'!C30*'COST_UPS SAVER (Allin)'!$D$3+'COST_UPS SAVER'!C30)*118%</f>
        <v>11618.229997499999</v>
      </c>
      <c r="D30" s="67">
        <f>('COST_UPS SAVER'!D30*'COST_UPS SAVER (Allin)'!$D$3+'COST_UPS SAVER'!D30)*118%</f>
        <v>12040.812629999999</v>
      </c>
      <c r="E30" s="67">
        <f>('COST_UPS SAVER'!E30*'COST_UPS SAVER (Allin)'!$D$3+'COST_UPS SAVER'!E30)*118%</f>
        <v>10923.854129999998</v>
      </c>
      <c r="F30" s="67">
        <f>('COST_UPS SAVER'!F30*'COST_UPS SAVER (Allin)'!$D$3+'COST_UPS SAVER'!F30)*118%</f>
        <v>11013.210809999999</v>
      </c>
      <c r="G30" s="67">
        <f>('COST_UPS SAVER'!G30*'COST_UPS SAVER (Allin)'!$D$3+'COST_UPS SAVER'!G30)*118%</f>
        <v>11102.567489999999</v>
      </c>
      <c r="H30" s="67">
        <f>('COST_UPS SAVER'!H30*'COST_UPS SAVER (Allin)'!$D$3+'COST_UPS SAVER'!H30)*118%</f>
        <v>7206.2439224999998</v>
      </c>
      <c r="I30" s="67">
        <f>('COST_UPS SAVER'!I30*'COST_UPS SAVER (Allin)'!$D$3+'COST_UPS SAVER'!I30)*118%</f>
        <v>7476.1755599999979</v>
      </c>
      <c r="J30" s="67">
        <f>('COST_UPS SAVER'!J30*'COST_UPS SAVER (Allin)'!$D$3+'COST_UPS SAVER'!J30)*118%</f>
        <v>7630.6881524999981</v>
      </c>
      <c r="K30" s="67">
        <f>('COST_UPS SAVER'!K30*'COST_UPS SAVER (Allin)'!$D$3+'COST_UPS SAVER'!K30)*118%</f>
        <v>8092.3643324999994</v>
      </c>
      <c r="L30" s="67">
        <f>('COST_UPS SAVER'!L30*'COST_UPS SAVER (Allin)'!$D$3+'COST_UPS SAVER'!L30)*118%</f>
        <v>8436.7598699999999</v>
      </c>
      <c r="M30" s="67">
        <f>('COST_UPS SAVER'!M30*'COST_UPS SAVER (Allin)'!$D$3+'COST_UPS SAVER'!M30)*118%</f>
        <v>8561.4869024999989</v>
      </c>
      <c r="N30" s="67">
        <f>('COST_UPS SAVER'!N30*'COST_UPS SAVER (Allin)'!$D$3+'COST_UPS SAVER'!N30)*118%</f>
        <v>13193.141482499999</v>
      </c>
      <c r="O30" s="67">
        <f>('COST_UPS SAVER'!O30*'COST_UPS SAVER (Allin)'!$D$3+'COST_UPS SAVER'!O30)*118%</f>
        <v>11117.460269999998</v>
      </c>
      <c r="P30" s="67">
        <f>('COST_UPS SAVER'!P30*'COST_UPS SAVER (Allin)'!$D$3+'COST_UPS SAVER'!P30)*118%</f>
        <v>12435.471299999999</v>
      </c>
      <c r="Q30" s="67">
        <f>('COST_UPS SAVER'!Q30*'COST_UPS SAVER (Allin)'!$D$3+'COST_UPS SAVER'!Q30)*118%</f>
        <v>13937.780482499998</v>
      </c>
      <c r="R30" s="67">
        <f>('COST_UPS SAVER'!R30*'COST_UPS SAVER (Allin)'!$D$3+'COST_UPS SAVER'!R30)*118%</f>
        <v>19110.22913625</v>
      </c>
      <c r="S30" s="67">
        <f>('COST_UPS SAVER'!S30*'COST_UPS SAVER (Allin)'!$D$3+'COST_UPS SAVER'!S30)*118%</f>
        <v>14479.505354999999</v>
      </c>
      <c r="T30" s="67">
        <f>('COST_UPS SAVER'!T30*'COST_UPS SAVER (Allin)'!$D$3+'COST_UPS SAVER'!T30)*118%</f>
        <v>21597.323396249998</v>
      </c>
      <c r="U30" s="67">
        <f>('COST_UPS SAVER'!U30*'COST_UPS SAVER (Allin)'!$D$3+'COST_UPS SAVER'!U30)*118%</f>
        <v>8747.6466524999996</v>
      </c>
      <c r="V30" s="67">
        <f>('COST_UPS SAVER'!V30*'COST_UPS SAVER (Allin)'!$D$3+'COST_UPS SAVER'!V30)*118%</f>
        <v>17500.878097500001</v>
      </c>
      <c r="W30" s="67">
        <f>('COST_UPS SAVER'!W30*'COST_UPS SAVER (Allin)'!$D$3+'COST_UPS SAVER'!W30)*118%</f>
        <v>21058.390920000002</v>
      </c>
      <c r="X30" s="67">
        <f>('COST_UPS SAVER'!X30*'COST_UPS SAVER (Allin)'!$D$3+'COST_UPS SAVER'!X30)*118%</f>
        <v>19688.255159999997</v>
      </c>
      <c r="Y30" s="67">
        <f>('COST_UPS SAVER'!Y30*'COST_UPS SAVER (Allin)'!$D$3+'COST_UPS SAVER'!Y30)*118%</f>
        <v>21088.176479999998</v>
      </c>
      <c r="Z30" s="67">
        <f>('COST_UPS SAVER'!Z30*'COST_UPS SAVER (Allin)'!$D$3+'COST_UPS SAVER'!Z30)*118%</f>
        <v>18726.740051249999</v>
      </c>
      <c r="AA30" s="67">
        <f>('COST_UPS SAVER'!AA30*'COST_UPS SAVER (Allin)'!$D$3+'COST_UPS SAVER'!AA30)*118%</f>
        <v>11839.760100000001</v>
      </c>
      <c r="AB30" s="67">
        <f>('COST_UPS SAVER'!AB30*'COST_UPS SAVER (Allin)'!$D$3+'COST_UPS SAVER'!AB30)*118%</f>
        <v>12875.73910875</v>
      </c>
      <c r="AC30" s="67">
        <f>('COST_UPS SAVER'!AC30*'COST_UPS SAVER (Allin)'!$D$3+'COST_UPS SAVER'!AC30)*118%</f>
        <v>12074.321384999999</v>
      </c>
      <c r="AD30" s="67">
        <f>('COST_UPS SAVER'!AD30*'COST_UPS SAVER (Allin)'!$D$3+'COST_UPS SAVER'!AD30)*118%</f>
        <v>19715.248323749995</v>
      </c>
      <c r="AE30" s="67">
        <f>('COST_UPS SAVER'!AE30*'COST_UPS SAVER (Allin)'!$D$3+'COST_UPS SAVER'!AE30)*118%</f>
        <v>20423.5861725</v>
      </c>
      <c r="AF30" s="67">
        <f>('COST_UPS SAVER'!AF30*'COST_UPS SAVER (Allin)'!$D$3+'COST_UPS SAVER'!AF30)*118%</f>
        <v>20920.632704999996</v>
      </c>
      <c r="AG30" s="68">
        <f>('COST_UPS SAVER'!AG30*'COST_UPS SAVER (Allin)'!$D$3+'COST_UPS SAVER'!AG30)*118%</f>
        <v>20715.856979999997</v>
      </c>
      <c r="AI30" s="22" t="s">
        <v>26</v>
      </c>
      <c r="AJ30" t="s">
        <v>99</v>
      </c>
      <c r="AK30" s="1"/>
      <c r="AL30" s="1"/>
      <c r="AM30" s="5"/>
      <c r="AN30" s="5"/>
      <c r="AO30" s="5"/>
      <c r="AP30" s="5"/>
      <c r="AQ30" s="5"/>
      <c r="AR30" s="1"/>
      <c r="AS30" s="1"/>
      <c r="AT30" s="1"/>
    </row>
    <row r="31" spans="1:46" x14ac:dyDescent="0.25">
      <c r="A31" s="27">
        <v>11</v>
      </c>
      <c r="B31" s="66">
        <f>('COST_UPS SAVER'!B31*'COST_UPS SAVER (Allin)'!$D$3+'COST_UPS SAVER'!B31)*118%</f>
        <v>11201.232157499999</v>
      </c>
      <c r="C31" s="67">
        <f>('COST_UPS SAVER'!C31*'COST_UPS SAVER (Allin)'!$D$3+'COST_UPS SAVER'!C31)*118%</f>
        <v>11968.210327500001</v>
      </c>
      <c r="D31" s="67">
        <f>('COST_UPS SAVER'!D31*'COST_UPS SAVER (Allin)'!$D$3+'COST_UPS SAVER'!D31)*118%</f>
        <v>12407.547337499998</v>
      </c>
      <c r="E31" s="67">
        <f>('COST_UPS SAVER'!E31*'COST_UPS SAVER (Allin)'!$D$3+'COST_UPS SAVER'!E31)*118%</f>
        <v>11305.4816175</v>
      </c>
      <c r="F31" s="67">
        <f>('COST_UPS SAVER'!F31*'COST_UPS SAVER (Allin)'!$D$3+'COST_UPS SAVER'!F31)*118%</f>
        <v>11396.699895</v>
      </c>
      <c r="G31" s="67">
        <f>('COST_UPS SAVER'!G31*'COST_UPS SAVER (Allin)'!$D$3+'COST_UPS SAVER'!G31)*118%</f>
        <v>11487.918172499998</v>
      </c>
      <c r="H31" s="67">
        <f>('COST_UPS SAVER'!H31*'COST_UPS SAVER (Allin)'!$D$3+'COST_UPS SAVER'!H31)*118%</f>
        <v>7491.0683399999989</v>
      </c>
      <c r="I31" s="67">
        <f>('COST_UPS SAVER'!I31*'COST_UPS SAVER (Allin)'!$D$3+'COST_UPS SAVER'!I31)*118%</f>
        <v>7772.1695625000002</v>
      </c>
      <c r="J31" s="67">
        <f>('COST_UPS SAVER'!J31*'COST_UPS SAVER (Allin)'!$D$3+'COST_UPS SAVER'!J31)*118%</f>
        <v>7932.2669475000002</v>
      </c>
      <c r="K31" s="67">
        <f>('COST_UPS SAVER'!K31*'COST_UPS SAVER (Allin)'!$D$3+'COST_UPS SAVER'!K31)*118%</f>
        <v>8414.4206999999988</v>
      </c>
      <c r="L31" s="67">
        <f>('COST_UPS SAVER'!L31*'COST_UPS SAVER (Allin)'!$D$3+'COST_UPS SAVER'!L31)*118%</f>
        <v>8781.1554074999985</v>
      </c>
      <c r="M31" s="67">
        <f>('COST_UPS SAVER'!M31*'COST_UPS SAVER (Allin)'!$D$3+'COST_UPS SAVER'!M31)*118%</f>
        <v>8911.4672324999992</v>
      </c>
      <c r="N31" s="67">
        <f>('COST_UPS SAVER'!N31*'COST_UPS SAVER (Allin)'!$D$3+'COST_UPS SAVER'!N31)*118%</f>
        <v>13500.30507</v>
      </c>
      <c r="O31" s="67">
        <f>('COST_UPS SAVER'!O31*'COST_UPS SAVER (Allin)'!$D$3+'COST_UPS SAVER'!O31)*118%</f>
        <v>11417.1774675</v>
      </c>
      <c r="P31" s="67">
        <f>('COST_UPS SAVER'!P31*'COST_UPS SAVER (Allin)'!$D$3+'COST_UPS SAVER'!P31)*118%</f>
        <v>12833.853164999999</v>
      </c>
      <c r="Q31" s="67">
        <f>('COST_UPS SAVER'!Q31*'COST_UPS SAVER (Allin)'!$D$3+'COST_UPS SAVER'!Q31)*118%</f>
        <v>14373.394297499995</v>
      </c>
      <c r="R31" s="67">
        <f>('COST_UPS SAVER'!R31*'COST_UPS SAVER (Allin)'!$D$3+'COST_UPS SAVER'!R31)*118%</f>
        <v>19811.120595</v>
      </c>
      <c r="S31" s="67">
        <f>('COST_UPS SAVER'!S31*'COST_UPS SAVER (Allin)'!$D$3+'COST_UPS SAVER'!S31)*118%</f>
        <v>14799.700124999999</v>
      </c>
      <c r="T31" s="67">
        <f>('COST_UPS SAVER'!T31*'COST_UPS SAVER (Allin)'!$D$3+'COST_UPS SAVER'!T31)*118%</f>
        <v>22350.339585000002</v>
      </c>
      <c r="U31" s="67">
        <f>('COST_UPS SAVER'!U31*'COST_UPS SAVER (Allin)'!$D$3+'COST_UPS SAVER'!U31)*118%</f>
        <v>9010.1319000000003</v>
      </c>
      <c r="V31" s="67">
        <f>('COST_UPS SAVER'!V31*'COST_UPS SAVER (Allin)'!$D$3+'COST_UPS SAVER'!V31)*118%</f>
        <v>17958.831082499997</v>
      </c>
      <c r="W31" s="67">
        <f>('COST_UPS SAVER'!W31*'COST_UPS SAVER (Allin)'!$D$3+'COST_UPS SAVER'!W31)*118%</f>
        <v>21747.181994999999</v>
      </c>
      <c r="X31" s="67">
        <f>('COST_UPS SAVER'!X31*'COST_UPS SAVER (Allin)'!$D$3+'COST_UPS SAVER'!X31)*118%</f>
        <v>20192.748082500002</v>
      </c>
      <c r="Y31" s="67">
        <f>('COST_UPS SAVER'!Y31*'COST_UPS SAVER (Allin)'!$D$3+'COST_UPS SAVER'!Y31)*118%</f>
        <v>21741.597202500001</v>
      </c>
      <c r="Z31" s="67">
        <f>('COST_UPS SAVER'!Z31*'COST_UPS SAVER (Allin)'!$D$3+'COST_UPS SAVER'!Z31)*118%</f>
        <v>19248.918149999998</v>
      </c>
      <c r="AA31" s="67">
        <f>('COST_UPS SAVER'!AA31*'COST_UPS SAVER (Allin)'!$D$3+'COST_UPS SAVER'!AA31)*118%</f>
        <v>12184.155637499998</v>
      </c>
      <c r="AB31" s="67">
        <f>('COST_UPS SAVER'!AB31*'COST_UPS SAVER (Allin)'!$D$3+'COST_UPS SAVER'!AB31)*118%</f>
        <v>13269.466980000001</v>
      </c>
      <c r="AC31" s="67">
        <f>('COST_UPS SAVER'!AC31*'COST_UPS SAVER (Allin)'!$D$3+'COST_UPS SAVER'!AC31)*118%</f>
        <v>12429.886507500001</v>
      </c>
      <c r="AD31" s="67">
        <f>('COST_UPS SAVER'!AD31*'COST_UPS SAVER (Allin)'!$D$3+'COST_UPS SAVER'!AD31)*118%</f>
        <v>20425.447769999995</v>
      </c>
      <c r="AE31" s="67">
        <f>('COST_UPS SAVER'!AE31*'COST_UPS SAVER (Allin)'!$D$3+'COST_UPS SAVER'!AE31)*118%</f>
        <v>21101.207662500001</v>
      </c>
      <c r="AF31" s="67">
        <f>('COST_UPS SAVER'!AF31*'COST_UPS SAVER (Allin)'!$D$3+'COST_UPS SAVER'!AF31)*118%</f>
        <v>21583.361414999999</v>
      </c>
      <c r="AG31" s="68">
        <f>('COST_UPS SAVER'!AG31*'COST_UPS SAVER (Allin)'!$D$3+'COST_UPS SAVER'!AG31)*118%</f>
        <v>21332.045752499998</v>
      </c>
      <c r="AI31" s="7"/>
      <c r="AJ31" s="10" t="s">
        <v>101</v>
      </c>
      <c r="AK31" s="1"/>
      <c r="AL31" s="1"/>
      <c r="AM31" s="1"/>
      <c r="AN31" s="1"/>
      <c r="AO31" s="1"/>
      <c r="AP31" s="1"/>
      <c r="AQ31" s="1"/>
      <c r="AR31" s="1"/>
      <c r="AS31" s="1"/>
      <c r="AT31" s="1"/>
    </row>
    <row r="32" spans="1:46" x14ac:dyDescent="0.25">
      <c r="A32" s="27">
        <v>11.5</v>
      </c>
      <c r="B32" s="66">
        <f>('COST_UPS SAVER'!B32*'COST_UPS SAVER (Allin)'!$D$3+'COST_UPS SAVER'!B32)*118%</f>
        <v>11592.167632500001</v>
      </c>
      <c r="C32" s="67">
        <f>('COST_UPS SAVER'!C32*'COST_UPS SAVER (Allin)'!$D$3+'COST_UPS SAVER'!C32)*118%</f>
        <v>12392.654557499998</v>
      </c>
      <c r="D32" s="67">
        <f>('COST_UPS SAVER'!D32*'COST_UPS SAVER (Allin)'!$D$3+'COST_UPS SAVER'!D32)*118%</f>
        <v>12848.745945000001</v>
      </c>
      <c r="E32" s="67">
        <f>('COST_UPS SAVER'!E32*'COST_UPS SAVER (Allin)'!$D$3+'COST_UPS SAVER'!E32)*118%</f>
        <v>11759.711407499999</v>
      </c>
      <c r="F32" s="67">
        <f>('COST_UPS SAVER'!F32*'COST_UPS SAVER (Allin)'!$D$3+'COST_UPS SAVER'!F32)*118%</f>
        <v>11856.514477500001</v>
      </c>
      <c r="G32" s="67">
        <f>('COST_UPS SAVER'!G32*'COST_UPS SAVER (Allin)'!$D$3+'COST_UPS SAVER'!G32)*118%</f>
        <v>11951.455949999998</v>
      </c>
      <c r="H32" s="67">
        <f>('COST_UPS SAVER'!H32*'COST_UPS SAVER (Allin)'!$D$3+'COST_UPS SAVER'!H32)*118%</f>
        <v>7826.1558899999991</v>
      </c>
      <c r="I32" s="67">
        <f>('COST_UPS SAVER'!I32*'COST_UPS SAVER (Allin)'!$D$3+'COST_UPS SAVER'!I32)*118%</f>
        <v>8118.4266974999991</v>
      </c>
      <c r="J32" s="67">
        <f>('COST_UPS SAVER'!J32*'COST_UPS SAVER (Allin)'!$D$3+'COST_UPS SAVER'!J32)*118%</f>
        <v>8293.4168624999984</v>
      </c>
      <c r="K32" s="67">
        <f>('COST_UPS SAVER'!K32*'COST_UPS SAVER (Allin)'!$D$3+'COST_UPS SAVER'!K32)*118%</f>
        <v>8796.0481874999987</v>
      </c>
      <c r="L32" s="67">
        <f>('COST_UPS SAVER'!L32*'COST_UPS SAVER (Allin)'!$D$3+'COST_UPS SAVER'!L32)*118%</f>
        <v>9179.5372724999997</v>
      </c>
      <c r="M32" s="67">
        <f>('COST_UPS SAVER'!M32*'COST_UPS SAVER (Allin)'!$D$3+'COST_UPS SAVER'!M32)*118%</f>
        <v>9315.4338899999984</v>
      </c>
      <c r="N32" s="67">
        <f>('COST_UPS SAVER'!N32*'COST_UPS SAVER (Allin)'!$D$3+'COST_UPS SAVER'!N32)*118%</f>
        <v>13885.655752500001</v>
      </c>
      <c r="O32" s="67">
        <f>('COST_UPS SAVER'!O32*'COST_UPS SAVER (Allin)'!$D$3+'COST_UPS SAVER'!O32)*118%</f>
        <v>11795.081759999999</v>
      </c>
      <c r="P32" s="67">
        <f>('COST_UPS SAVER'!P32*'COST_UPS SAVER (Allin)'!$D$3+'COST_UPS SAVER'!P32)*118%</f>
        <v>13308.5605275</v>
      </c>
      <c r="Q32" s="67">
        <f>('COST_UPS SAVER'!Q32*'COST_UPS SAVER (Allin)'!$D$3+'COST_UPS SAVER'!Q32)*118%</f>
        <v>14883.472012499999</v>
      </c>
      <c r="R32" s="67">
        <f>('COST_UPS SAVER'!R32*'COST_UPS SAVER (Allin)'!$D$3+'COST_UPS SAVER'!R32)*118%</f>
        <v>20476.641701249995</v>
      </c>
      <c r="S32" s="67">
        <f>('COST_UPS SAVER'!S32*'COST_UPS SAVER (Allin)'!$D$3+'COST_UPS SAVER'!S32)*118%</f>
        <v>15194.358794999998</v>
      </c>
      <c r="T32" s="67">
        <f>('COST_UPS SAVER'!T32*'COST_UPS SAVER (Allin)'!$D$3+'COST_UPS SAVER'!T32)*118%</f>
        <v>23166.650088750001</v>
      </c>
      <c r="U32" s="67">
        <f>('COST_UPS SAVER'!U32*'COST_UPS SAVER (Allin)'!$D$3+'COST_UPS SAVER'!U32)*118%</f>
        <v>9352.6658400000015</v>
      </c>
      <c r="V32" s="67">
        <f>('COST_UPS SAVER'!V32*'COST_UPS SAVER (Allin)'!$D$3+'COST_UPS SAVER'!V32)*118%</f>
        <v>18476.355187499998</v>
      </c>
      <c r="W32" s="67">
        <f>('COST_UPS SAVER'!W32*'COST_UPS SAVER (Allin)'!$D$3+'COST_UPS SAVER'!W32)*118%</f>
        <v>22510.436969999995</v>
      </c>
      <c r="X32" s="67">
        <f>('COST_UPS SAVER'!X32*'COST_UPS SAVER (Allin)'!$D$3+'COST_UPS SAVER'!X32)*118%</f>
        <v>20767.98171</v>
      </c>
      <c r="Y32" s="67">
        <f>('COST_UPS SAVER'!Y32*'COST_UPS SAVER (Allin)'!$D$3+'COST_UPS SAVER'!Y32)*118%</f>
        <v>22467.620227499996</v>
      </c>
      <c r="Z32" s="67">
        <f>('COST_UPS SAVER'!Z32*'COST_UPS SAVER (Allin)'!$D$3+'COST_UPS SAVER'!Z32)*118%</f>
        <v>20167.61651625</v>
      </c>
      <c r="AA32" s="67">
        <f>('COST_UPS SAVER'!AA32*'COST_UPS SAVER (Allin)'!$D$3+'COST_UPS SAVER'!AA32)*118%</f>
        <v>12638.385427500001</v>
      </c>
      <c r="AB32" s="67">
        <f>('COST_UPS SAVER'!AB32*'COST_UPS SAVER (Allin)'!$D$3+'COST_UPS SAVER'!AB32)*118%</f>
        <v>13773.029103749999</v>
      </c>
      <c r="AC32" s="67">
        <f>('COST_UPS SAVER'!AC32*'COST_UPS SAVER (Allin)'!$D$3+'COST_UPS SAVER'!AC32)*118%</f>
        <v>12895.285882500002</v>
      </c>
      <c r="AD32" s="67">
        <f>('COST_UPS SAVER'!AD32*'COST_UPS SAVER (Allin)'!$D$3+'COST_UPS SAVER'!AD32)*118%</f>
        <v>21137.508813749999</v>
      </c>
      <c r="AE32" s="67">
        <f>('COST_UPS SAVER'!AE32*'COST_UPS SAVER (Allin)'!$D$3+'COST_UPS SAVER'!AE32)*118%</f>
        <v>21879.355417499995</v>
      </c>
      <c r="AF32" s="67">
        <f>('COST_UPS SAVER'!AF32*'COST_UPS SAVER (Allin)'!$D$3+'COST_UPS SAVER'!AF32)*118%</f>
        <v>22357.785974999999</v>
      </c>
      <c r="AG32" s="68">
        <f>('COST_UPS SAVER'!AG32*'COST_UPS SAVER (Allin)'!$D$3+'COST_UPS SAVER'!AG32)*118%</f>
        <v>22058.068777499997</v>
      </c>
      <c r="AI32" s="7"/>
      <c r="AJ32" s="1"/>
      <c r="AK32" s="1"/>
      <c r="AL32" s="1"/>
      <c r="AM32" s="1"/>
      <c r="AN32" s="1"/>
      <c r="AO32" s="1"/>
      <c r="AP32" s="1"/>
      <c r="AQ32" s="1"/>
      <c r="AR32" s="1"/>
      <c r="AS32" s="1"/>
      <c r="AT32" s="1"/>
    </row>
    <row r="33" spans="1:46" x14ac:dyDescent="0.25">
      <c r="A33" s="27">
        <v>12</v>
      </c>
      <c r="B33" s="66">
        <f>('COST_UPS SAVER'!B33*'COST_UPS SAVER (Allin)'!$D$3+'COST_UPS SAVER'!B33)*118%</f>
        <v>11912.362402500001</v>
      </c>
      <c r="C33" s="67">
        <f>('COST_UPS SAVER'!C33*'COST_UPS SAVER (Allin)'!$D$3+'COST_UPS SAVER'!C33)*118%</f>
        <v>12742.634887499999</v>
      </c>
      <c r="D33" s="67">
        <f>('COST_UPS SAVER'!D33*'COST_UPS SAVER (Allin)'!$D$3+'COST_UPS SAVER'!D33)*118%</f>
        <v>13217.34225</v>
      </c>
      <c r="E33" s="67">
        <f>('COST_UPS SAVER'!E33*'COST_UPS SAVER (Allin)'!$D$3+'COST_UPS SAVER'!E33)*118%</f>
        <v>12132.030907499999</v>
      </c>
      <c r="F33" s="67">
        <f>('COST_UPS SAVER'!F33*'COST_UPS SAVER (Allin)'!$D$3+'COST_UPS SAVER'!F33)*118%</f>
        <v>12230.695575</v>
      </c>
      <c r="G33" s="67">
        <f>('COST_UPS SAVER'!G33*'COST_UPS SAVER (Allin)'!$D$3+'COST_UPS SAVER'!G33)*118%</f>
        <v>12329.360242499999</v>
      </c>
      <c r="H33" s="67">
        <f>('COST_UPS SAVER'!H33*'COST_UPS SAVER (Allin)'!$D$3+'COST_UPS SAVER'!H33)*118%</f>
        <v>8112.8419049999993</v>
      </c>
      <c r="I33" s="67">
        <f>('COST_UPS SAVER'!I33*'COST_UPS SAVER (Allin)'!$D$3+'COST_UPS SAVER'!I33)*118%</f>
        <v>8418.1438949999992</v>
      </c>
      <c r="J33" s="67">
        <f>('COST_UPS SAVER'!J33*'COST_UPS SAVER (Allin)'!$D$3+'COST_UPS SAVER'!J33)*118%</f>
        <v>8594.9956574999997</v>
      </c>
      <c r="K33" s="67">
        <f>('COST_UPS SAVER'!K33*'COST_UPS SAVER (Allin)'!$D$3+'COST_UPS SAVER'!K33)*118%</f>
        <v>9118.1045549999999</v>
      </c>
      <c r="L33" s="67">
        <f>('COST_UPS SAVER'!L33*'COST_UPS SAVER (Allin)'!$D$3+'COST_UPS SAVER'!L33)*118%</f>
        <v>9514.6248225000018</v>
      </c>
      <c r="M33" s="67">
        <f>('COST_UPS SAVER'!M33*'COST_UPS SAVER (Allin)'!$D$3+'COST_UPS SAVER'!M33)*118%</f>
        <v>9656.1062325000003</v>
      </c>
      <c r="N33" s="67">
        <f>('COST_UPS SAVER'!N33*'COST_UPS SAVER (Allin)'!$D$3+'COST_UPS SAVER'!N33)*118%</f>
        <v>14198.404132500002</v>
      </c>
      <c r="O33" s="67">
        <f>('COST_UPS SAVER'!O33*'COST_UPS SAVER (Allin)'!$D$3+'COST_UPS SAVER'!O33)*118%</f>
        <v>12105.968542500001</v>
      </c>
      <c r="P33" s="67">
        <f>('COST_UPS SAVER'!P33*'COST_UPS SAVER (Allin)'!$D$3+'COST_UPS SAVER'!P33)*118%</f>
        <v>13708.80399</v>
      </c>
      <c r="Q33" s="67">
        <f>('COST_UPS SAVER'!Q33*'COST_UPS SAVER (Allin)'!$D$3+'COST_UPS SAVER'!Q33)*118%</f>
        <v>15315.3626325</v>
      </c>
      <c r="R33" s="67">
        <f>('COST_UPS SAVER'!R33*'COST_UPS SAVER (Allin)'!$D$3+'COST_UPS SAVER'!R33)*118%</f>
        <v>21063.975712499996</v>
      </c>
      <c r="S33" s="67">
        <f>('COST_UPS SAVER'!S33*'COST_UPS SAVER (Allin)'!$D$3+'COST_UPS SAVER'!S33)*118%</f>
        <v>15521.999954999997</v>
      </c>
      <c r="T33" s="67">
        <f>('COST_UPS SAVER'!T33*'COST_UPS SAVER (Allin)'!$D$3+'COST_UPS SAVER'!T33)*118%</f>
        <v>23914.081484999999</v>
      </c>
      <c r="U33" s="67">
        <f>('COST_UPS SAVER'!U33*'COST_UPS SAVER (Allin)'!$D$3+'COST_UPS SAVER'!U33)*118%</f>
        <v>9635.6286600000003</v>
      </c>
      <c r="V33" s="67">
        <f>('COST_UPS SAVER'!V33*'COST_UPS SAVER (Allin)'!$D$3+'COST_UPS SAVER'!V33)*118%</f>
        <v>18926.861782499996</v>
      </c>
      <c r="W33" s="67">
        <f>('COST_UPS SAVER'!W33*'COST_UPS SAVER (Allin)'!$D$3+'COST_UPS SAVER'!W33)*118%</f>
        <v>23191.781654999999</v>
      </c>
      <c r="X33" s="67">
        <f>('COST_UPS SAVER'!X33*'COST_UPS SAVER (Allin)'!$D$3+'COST_UPS SAVER'!X33)*118%</f>
        <v>21270.613035000002</v>
      </c>
      <c r="Y33" s="67">
        <f>('COST_UPS SAVER'!Y33*'COST_UPS SAVER (Allin)'!$D$3+'COST_UPS SAVER'!Y33)*118%</f>
        <v>23122.902547499998</v>
      </c>
      <c r="Z33" s="67">
        <f>('COST_UPS SAVER'!Z33*'COST_UPS SAVER (Allin)'!$D$3+'COST_UPS SAVER'!Z33)*118%</f>
        <v>20691.656212499995</v>
      </c>
      <c r="AA33" s="67">
        <f>('COST_UPS SAVER'!AA33*'COST_UPS SAVER (Allin)'!$D$3+'COST_UPS SAVER'!AA33)*118%</f>
        <v>12984.642562500001</v>
      </c>
      <c r="AB33" s="67">
        <f>('COST_UPS SAVER'!AB33*'COST_UPS SAVER (Allin)'!$D$3+'COST_UPS SAVER'!AB33)*118%</f>
        <v>14168.6185725</v>
      </c>
      <c r="AC33" s="67">
        <f>('COST_UPS SAVER'!AC33*'COST_UPS SAVER (Allin)'!$D$3+'COST_UPS SAVER'!AC33)*118%</f>
        <v>13252.7126025</v>
      </c>
      <c r="AD33" s="67">
        <f>('COST_UPS SAVER'!AD33*'COST_UPS SAVER (Allin)'!$D$3+'COST_UPS SAVER'!AD33)*118%</f>
        <v>21734.150812499996</v>
      </c>
      <c r="AE33" s="67">
        <f>('COST_UPS SAVER'!AE33*'COST_UPS SAVER (Allin)'!$D$3+'COST_UPS SAVER'!AE33)*118%</f>
        <v>22551.392114999999</v>
      </c>
      <c r="AF33" s="67">
        <f>('COST_UPS SAVER'!AF33*'COST_UPS SAVER (Allin)'!$D$3+'COST_UPS SAVER'!AF33)*118%</f>
        <v>23013.068294999997</v>
      </c>
      <c r="AG33" s="68">
        <f>('COST_UPS SAVER'!AG33*'COST_UPS SAVER (Allin)'!$D$3+'COST_UPS SAVER'!AG33)*118%</f>
        <v>22676.119147500001</v>
      </c>
      <c r="AI33" s="22" t="s">
        <v>104</v>
      </c>
      <c r="AJ33" t="s">
        <v>105</v>
      </c>
      <c r="AK33" s="1"/>
      <c r="AL33" s="1"/>
      <c r="AM33" s="5"/>
      <c r="AN33" s="5"/>
      <c r="AO33" s="5"/>
      <c r="AP33" s="5"/>
      <c r="AQ33" s="5"/>
      <c r="AR33" s="1"/>
      <c r="AS33" s="1"/>
      <c r="AT33" s="1"/>
    </row>
    <row r="34" spans="1:46" x14ac:dyDescent="0.25">
      <c r="A34" s="27">
        <v>12.5</v>
      </c>
      <c r="B34" s="66">
        <f>('COST_UPS SAVER'!B34*'COST_UPS SAVER (Allin)'!$D$3+'COST_UPS SAVER'!B34)*118%</f>
        <v>12305.159475</v>
      </c>
      <c r="C34" s="67">
        <f>('COST_UPS SAVER'!C34*'COST_UPS SAVER (Allin)'!$D$3+'COST_UPS SAVER'!C34)*118%</f>
        <v>13167.079117499999</v>
      </c>
      <c r="D34" s="67">
        <f>('COST_UPS SAVER'!D34*'COST_UPS SAVER (Allin)'!$D$3+'COST_UPS SAVER'!D34)*118%</f>
        <v>13658.5408575</v>
      </c>
      <c r="E34" s="67">
        <f>('COST_UPS SAVER'!E34*'COST_UPS SAVER (Allin)'!$D$3+'COST_UPS SAVER'!E34)*118%</f>
        <v>12591.84549</v>
      </c>
      <c r="F34" s="67">
        <f>('COST_UPS SAVER'!F34*'COST_UPS SAVER (Allin)'!$D$3+'COST_UPS SAVER'!F34)*118%</f>
        <v>12694.233352499999</v>
      </c>
      <c r="G34" s="67">
        <f>('COST_UPS SAVER'!G34*'COST_UPS SAVER (Allin)'!$D$3+'COST_UPS SAVER'!G34)*118%</f>
        <v>12794.7596175</v>
      </c>
      <c r="H34" s="67">
        <f>('COST_UPS SAVER'!H34*'COST_UPS SAVER (Allin)'!$D$3+'COST_UPS SAVER'!H34)*118%</f>
        <v>8462.8222349999996</v>
      </c>
      <c r="I34" s="67">
        <f>('COST_UPS SAVER'!I34*'COST_UPS SAVER (Allin)'!$D$3+'COST_UPS SAVER'!I34)*118%</f>
        <v>8779.2938099999992</v>
      </c>
      <c r="J34" s="67">
        <f>('COST_UPS SAVER'!J34*'COST_UPS SAVER (Allin)'!$D$3+'COST_UPS SAVER'!J34)*118%</f>
        <v>8959.8687675000001</v>
      </c>
      <c r="K34" s="67">
        <f>('COST_UPS SAVER'!K34*'COST_UPS SAVER (Allin)'!$D$3+'COST_UPS SAVER'!K34)*118%</f>
        <v>9503.4552374999985</v>
      </c>
      <c r="L34" s="67">
        <f>('COST_UPS SAVER'!L34*'COST_UPS SAVER (Allin)'!$D$3+'COST_UPS SAVER'!L34)*118%</f>
        <v>9920.4530774999985</v>
      </c>
      <c r="M34" s="67">
        <f>('COST_UPS SAVER'!M34*'COST_UPS SAVER (Allin)'!$D$3+'COST_UPS SAVER'!M34)*118%</f>
        <v>10067.51928</v>
      </c>
      <c r="N34" s="67">
        <f>('COST_UPS SAVER'!N34*'COST_UPS SAVER (Allin)'!$D$3+'COST_UPS SAVER'!N34)*118%</f>
        <v>14585.6164125</v>
      </c>
      <c r="O34" s="67">
        <f>('COST_UPS SAVER'!O34*'COST_UPS SAVER (Allin)'!$D$3+'COST_UPS SAVER'!O34)*118%</f>
        <v>12485.734432499998</v>
      </c>
      <c r="P34" s="67">
        <f>('COST_UPS SAVER'!P34*'COST_UPS SAVER (Allin)'!$D$3+'COST_UPS SAVER'!P34)*118%</f>
        <v>14185.372949999997</v>
      </c>
      <c r="Q34" s="67">
        <f>('COST_UPS SAVER'!Q34*'COST_UPS SAVER (Allin)'!$D$3+'COST_UPS SAVER'!Q34)*118%</f>
        <v>15916.658624999998</v>
      </c>
      <c r="R34" s="67">
        <f>('COST_UPS SAVER'!R34*'COST_UPS SAVER (Allin)'!$D$3+'COST_UPS SAVER'!R34)*118%</f>
        <v>21679.233686249998</v>
      </c>
      <c r="S34" s="67">
        <f>('COST_UPS SAVER'!S34*'COST_UPS SAVER (Allin)'!$D$3+'COST_UPS SAVER'!S34)*118%</f>
        <v>15914.797027499999</v>
      </c>
      <c r="T34" s="67">
        <f>('COST_UPS SAVER'!T34*'COST_UPS SAVER (Allin)'!$D$3+'COST_UPS SAVER'!T34)*118%</f>
        <v>24735.976781249996</v>
      </c>
      <c r="U34" s="67">
        <f>('COST_UPS SAVER'!U34*'COST_UPS SAVER (Allin)'!$D$3+'COST_UPS SAVER'!U34)*118%</f>
        <v>9963.2698199999977</v>
      </c>
      <c r="V34" s="67">
        <f>('COST_UPS SAVER'!V34*'COST_UPS SAVER (Allin)'!$D$3+'COST_UPS SAVER'!V34)*118%</f>
        <v>19468.586654999999</v>
      </c>
      <c r="W34" s="67">
        <f>('COST_UPS SAVER'!W34*'COST_UPS SAVER (Allin)'!$D$3+'COST_UPS SAVER'!W34)*118%</f>
        <v>23955.036630000002</v>
      </c>
      <c r="X34" s="67">
        <f>('COST_UPS SAVER'!X34*'COST_UPS SAVER (Allin)'!$D$3+'COST_UPS SAVER'!X34)*118%</f>
        <v>21847.708259999996</v>
      </c>
      <c r="Y34" s="67">
        <f>('COST_UPS SAVER'!Y34*'COST_UPS SAVER (Allin)'!$D$3+'COST_UPS SAVER'!Y34)*118%</f>
        <v>23850.78717</v>
      </c>
      <c r="Z34" s="67">
        <f>('COST_UPS SAVER'!Z34*'COST_UPS SAVER (Allin)'!$D$3+'COST_UPS SAVER'!Z34)*118%</f>
        <v>21612.21617625</v>
      </c>
      <c r="AA34" s="67">
        <f>('COST_UPS SAVER'!AA34*'COST_UPS SAVER (Allin)'!$D$3+'COST_UPS SAVER'!AA34)*118%</f>
        <v>13440.733949999998</v>
      </c>
      <c r="AB34" s="67">
        <f>('COST_UPS SAVER'!AB34*'COST_UPS SAVER (Allin)'!$D$3+'COST_UPS SAVER'!AB34)*118%</f>
        <v>14674.042293749999</v>
      </c>
      <c r="AC34" s="67">
        <f>('COST_UPS SAVER'!AC34*'COST_UPS SAVER (Allin)'!$D$3+'COST_UPS SAVER'!AC34)*118%</f>
        <v>13719.973574999998</v>
      </c>
      <c r="AD34" s="67">
        <f>('COST_UPS SAVER'!AD34*'COST_UPS SAVER (Allin)'!$D$3+'COST_UPS SAVER'!AD34)*118%</f>
        <v>22395.94872375</v>
      </c>
      <c r="AE34" s="67">
        <f>('COST_UPS SAVER'!AE34*'COST_UPS SAVER (Allin)'!$D$3+'COST_UPS SAVER'!AE34)*118%</f>
        <v>23335.124662499999</v>
      </c>
      <c r="AF34" s="67">
        <f>('COST_UPS SAVER'!AF34*'COST_UPS SAVER (Allin)'!$D$3+'COST_UPS SAVER'!AF34)*118%</f>
        <v>23787.492855</v>
      </c>
      <c r="AG34" s="68">
        <f>('COST_UPS SAVER'!AG34*'COST_UPS SAVER (Allin)'!$D$3+'COST_UPS SAVER'!AG34)*118%</f>
        <v>23404.003769999999</v>
      </c>
      <c r="AI34" s="22" t="s">
        <v>107</v>
      </c>
      <c r="AJ34" t="s">
        <v>108</v>
      </c>
      <c r="AK34" s="5"/>
      <c r="AL34" s="5"/>
      <c r="AM34" s="5"/>
      <c r="AN34" s="5"/>
      <c r="AO34" s="5"/>
      <c r="AP34" s="5"/>
      <c r="AQ34" s="5"/>
      <c r="AR34" s="1"/>
      <c r="AS34" s="1"/>
      <c r="AT34" s="1"/>
    </row>
    <row r="35" spans="1:46" x14ac:dyDescent="0.25">
      <c r="A35" s="27">
        <v>13</v>
      </c>
      <c r="B35" s="66">
        <f>('COST_UPS SAVER'!B35*'COST_UPS SAVER (Allin)'!$D$3+'COST_UPS SAVER'!B35)*118%</f>
        <v>12621.63105</v>
      </c>
      <c r="C35" s="67">
        <f>('COST_UPS SAVER'!C35*'COST_UPS SAVER (Allin)'!$D$3+'COST_UPS SAVER'!C35)*118%</f>
        <v>13517.0594475</v>
      </c>
      <c r="D35" s="67">
        <f>('COST_UPS SAVER'!D35*'COST_UPS SAVER (Allin)'!$D$3+'COST_UPS SAVER'!D35)*118%</f>
        <v>14025.275565</v>
      </c>
      <c r="E35" s="67">
        <f>('COST_UPS SAVER'!E35*'COST_UPS SAVER (Allin)'!$D$3+'COST_UPS SAVER'!E35)*118%</f>
        <v>12941.82582</v>
      </c>
      <c r="F35" s="67">
        <f>('COST_UPS SAVER'!F35*'COST_UPS SAVER (Allin)'!$D$3+'COST_UPS SAVER'!F35)*118%</f>
        <v>13046.075280000001</v>
      </c>
      <c r="G35" s="67">
        <f>('COST_UPS SAVER'!G35*'COST_UPS SAVER (Allin)'!$D$3+'COST_UPS SAVER'!G35)*118%</f>
        <v>13152.186337499998</v>
      </c>
      <c r="H35" s="67">
        <f>('COST_UPS SAVER'!H35*'COST_UPS SAVER (Allin)'!$D$3+'COST_UPS SAVER'!H35)*118%</f>
        <v>8747.6466524999996</v>
      </c>
      <c r="I35" s="67">
        <f>('COST_UPS SAVER'!I35*'COST_UPS SAVER (Allin)'!$D$3+'COST_UPS SAVER'!I35)*118%</f>
        <v>9075.2878124999988</v>
      </c>
      <c r="J35" s="67">
        <f>('COST_UPS SAVER'!J35*'COST_UPS SAVER (Allin)'!$D$3+'COST_UPS SAVER'!J35)*118%</f>
        <v>9254.0011724999986</v>
      </c>
      <c r="K35" s="67">
        <f>('COST_UPS SAVER'!K35*'COST_UPS SAVER (Allin)'!$D$3+'COST_UPS SAVER'!K35)*118%</f>
        <v>9816.2036174999994</v>
      </c>
      <c r="L35" s="67">
        <f>('COST_UPS SAVER'!L35*'COST_UPS SAVER (Allin)'!$D$3+'COST_UPS SAVER'!L35)*118%</f>
        <v>10251.8174325</v>
      </c>
      <c r="M35" s="67">
        <f>('COST_UPS SAVER'!M35*'COST_UPS SAVER (Allin)'!$D$3+'COST_UPS SAVER'!M35)*118%</f>
        <v>10402.606830000002</v>
      </c>
      <c r="N35" s="67">
        <f>('COST_UPS SAVER'!N35*'COST_UPS SAVER (Allin)'!$D$3+'COST_UPS SAVER'!N35)*118%</f>
        <v>14896.503195000003</v>
      </c>
      <c r="O35" s="67">
        <f>('COST_UPS SAVER'!O35*'COST_UPS SAVER (Allin)'!$D$3+'COST_UPS SAVER'!O35)*118%</f>
        <v>12802.206007500001</v>
      </c>
      <c r="P35" s="67">
        <f>('COST_UPS SAVER'!P35*'COST_UPS SAVER (Allin)'!$D$3+'COST_UPS SAVER'!P35)*118%</f>
        <v>14570.723632500003</v>
      </c>
      <c r="Q35" s="67">
        <f>('COST_UPS SAVER'!Q35*'COST_UPS SAVER (Allin)'!$D$3+'COST_UPS SAVER'!Q35)*118%</f>
        <v>16350.410842499998</v>
      </c>
      <c r="R35" s="67">
        <f>('COST_UPS SAVER'!R35*'COST_UPS SAVER (Allin)'!$D$3+'COST_UPS SAVER'!R35)*118%</f>
        <v>22214.442967499996</v>
      </c>
      <c r="S35" s="67">
        <f>('COST_UPS SAVER'!S35*'COST_UPS SAVER (Allin)'!$D$3+'COST_UPS SAVER'!S35)*118%</f>
        <v>16240.576590000001</v>
      </c>
      <c r="T35" s="67">
        <f>('COST_UPS SAVER'!T35*'COST_UPS SAVER (Allin)'!$D$3+'COST_UPS SAVER'!T35)*118%</f>
        <v>25466.6538</v>
      </c>
      <c r="U35" s="67">
        <f>('COST_UPS SAVER'!U35*'COST_UPS SAVER (Allin)'!$D$3+'COST_UPS SAVER'!U35)*118%</f>
        <v>10240.647847499999</v>
      </c>
      <c r="V35" s="67">
        <f>('COST_UPS SAVER'!V35*'COST_UPS SAVER (Allin)'!$D$3+'COST_UPS SAVER'!V35)*118%</f>
        <v>20019.619514999999</v>
      </c>
      <c r="W35" s="67">
        <f>('COST_UPS SAVER'!W35*'COST_UPS SAVER (Allin)'!$D$3+'COST_UPS SAVER'!W35)*118%</f>
        <v>24647.550899999995</v>
      </c>
      <c r="X35" s="67">
        <f>('COST_UPS SAVER'!X35*'COST_UPS SAVER (Allin)'!$D$3+'COST_UPS SAVER'!X35)*118%</f>
        <v>22456.450642499996</v>
      </c>
      <c r="Y35" s="67">
        <f>('COST_UPS SAVER'!Y35*'COST_UPS SAVER (Allin)'!$D$3+'COST_UPS SAVER'!Y35)*118%</f>
        <v>24502.346294999999</v>
      </c>
      <c r="Z35" s="67">
        <f>('COST_UPS SAVER'!Z35*'COST_UPS SAVER (Allin)'!$D$3+'COST_UPS SAVER'!Z35)*118%</f>
        <v>22132.532677499996</v>
      </c>
      <c r="AA35" s="67">
        <f>('COST_UPS SAVER'!AA35*'COST_UPS SAVER (Allin)'!$D$3+'COST_UPS SAVER'!AA35)*118%</f>
        <v>13783.267890000001</v>
      </c>
      <c r="AB35" s="67">
        <f>('COST_UPS SAVER'!AB35*'COST_UPS SAVER (Allin)'!$D$3+'COST_UPS SAVER'!AB35)*118%</f>
        <v>15065.908567499999</v>
      </c>
      <c r="AC35" s="67">
        <f>('COST_UPS SAVER'!AC35*'COST_UPS SAVER (Allin)'!$D$3+'COST_UPS SAVER'!AC35)*118%</f>
        <v>14073.677099999997</v>
      </c>
      <c r="AD35" s="67">
        <f>('COST_UPS SAVER'!AD35*'COST_UPS SAVER (Allin)'!$D$3+'COST_UPS SAVER'!AD35)*118%</f>
        <v>22940.465992500005</v>
      </c>
      <c r="AE35" s="67">
        <f>('COST_UPS SAVER'!AE35*'COST_UPS SAVER (Allin)'!$D$3+'COST_UPS SAVER'!AE35)*118%</f>
        <v>23990.406982499997</v>
      </c>
      <c r="AF35" s="67">
        <f>('COST_UPS SAVER'!AF35*'COST_UPS SAVER (Allin)'!$D$3+'COST_UPS SAVER'!AF35)*118%</f>
        <v>24453.944759999995</v>
      </c>
      <c r="AG35" s="68">
        <f>('COST_UPS SAVER'!AG35*'COST_UPS SAVER (Allin)'!$D$3+'COST_UPS SAVER'!AG35)*118%</f>
        <v>24018.330944999998</v>
      </c>
      <c r="AI35" s="22" t="s">
        <v>110</v>
      </c>
      <c r="AJ35" t="s">
        <v>111</v>
      </c>
      <c r="AK35" s="5"/>
      <c r="AL35" s="5"/>
      <c r="AM35" s="5"/>
      <c r="AN35" s="5"/>
      <c r="AO35" s="5"/>
      <c r="AP35" s="5"/>
      <c r="AQ35" s="5"/>
      <c r="AR35" s="1"/>
      <c r="AS35" s="1"/>
      <c r="AT35" s="1"/>
    </row>
    <row r="36" spans="1:46" x14ac:dyDescent="0.25">
      <c r="A36" s="27">
        <v>13.5</v>
      </c>
      <c r="B36" s="66">
        <f>('COST_UPS SAVER'!B36*'COST_UPS SAVER (Allin)'!$D$3+'COST_UPS SAVER'!B36)*118%</f>
        <v>13014.428122499998</v>
      </c>
      <c r="C36" s="67">
        <f>('COST_UPS SAVER'!C36*'COST_UPS SAVER (Allin)'!$D$3+'COST_UPS SAVER'!C36)*118%</f>
        <v>13941.503677500001</v>
      </c>
      <c r="D36" s="67">
        <f>('COST_UPS SAVER'!D36*'COST_UPS SAVER (Allin)'!$D$3+'COST_UPS SAVER'!D36)*118%</f>
        <v>14466.474172499999</v>
      </c>
      <c r="E36" s="67">
        <f>('COST_UPS SAVER'!E36*'COST_UPS SAVER (Allin)'!$D$3+'COST_UPS SAVER'!E36)*118%</f>
        <v>13366.270049999999</v>
      </c>
      <c r="F36" s="67">
        <f>('COST_UPS SAVER'!F36*'COST_UPS SAVER (Allin)'!$D$3+'COST_UPS SAVER'!F36)*118%</f>
        <v>13474.242705000001</v>
      </c>
      <c r="G36" s="67">
        <f>('COST_UPS SAVER'!G36*'COST_UPS SAVER (Allin)'!$D$3+'COST_UPS SAVER'!G36)*118%</f>
        <v>13582.215359999998</v>
      </c>
      <c r="H36" s="67">
        <f>('COST_UPS SAVER'!H36*'COST_UPS SAVER (Allin)'!$D$3+'COST_UPS SAVER'!H36)*118%</f>
        <v>9092.0421899999983</v>
      </c>
      <c r="I36" s="67">
        <f>('COST_UPS SAVER'!I36*'COST_UPS SAVER (Allin)'!$D$3+'COST_UPS SAVER'!I36)*118%</f>
        <v>9430.8529350000008</v>
      </c>
      <c r="J36" s="67">
        <f>('COST_UPS SAVER'!J36*'COST_UPS SAVER (Allin)'!$D$3+'COST_UPS SAVER'!J36)*118%</f>
        <v>9626.3206725</v>
      </c>
      <c r="K36" s="67">
        <f>('COST_UPS SAVER'!K36*'COST_UPS SAVER (Allin)'!$D$3+'COST_UPS SAVER'!K36)*118%</f>
        <v>10209.000689999999</v>
      </c>
      <c r="L36" s="67">
        <f>('COST_UPS SAVER'!L36*'COST_UPS SAVER (Allin)'!$D$3+'COST_UPS SAVER'!L36)*118%</f>
        <v>10650.199297499996</v>
      </c>
      <c r="M36" s="67">
        <f>('COST_UPS SAVER'!M36*'COST_UPS SAVER (Allin)'!$D$3+'COST_UPS SAVER'!M36)*118%</f>
        <v>10808.435084999999</v>
      </c>
      <c r="N36" s="67">
        <f>('COST_UPS SAVER'!N36*'COST_UPS SAVER (Allin)'!$D$3+'COST_UPS SAVER'!N36)*118%</f>
        <v>15281.8538775</v>
      </c>
      <c r="O36" s="67">
        <f>('COST_UPS SAVER'!O36*'COST_UPS SAVER (Allin)'!$D$3+'COST_UPS SAVER'!O36)*118%</f>
        <v>13196.8646775</v>
      </c>
      <c r="P36" s="67">
        <f>('COST_UPS SAVER'!P36*'COST_UPS SAVER (Allin)'!$D$3+'COST_UPS SAVER'!P36)*118%</f>
        <v>15034.261410000001</v>
      </c>
      <c r="Q36" s="67">
        <f>('COST_UPS SAVER'!Q36*'COST_UPS SAVER (Allin)'!$D$3+'COST_UPS SAVER'!Q36)*118%</f>
        <v>16860.488557499997</v>
      </c>
      <c r="R36" s="67">
        <f>('COST_UPS SAVER'!R36*'COST_UPS SAVER (Allin)'!$D$3+'COST_UPS SAVER'!R36)*118%</f>
        <v>22822.25455125</v>
      </c>
      <c r="S36" s="67">
        <f>('COST_UPS SAVER'!S36*'COST_UPS SAVER (Allin)'!$D$3+'COST_UPS SAVER'!S36)*118%</f>
        <v>16633.373662499998</v>
      </c>
      <c r="T36" s="67">
        <f>('COST_UPS SAVER'!T36*'COST_UPS SAVER (Allin)'!$D$3+'COST_UPS SAVER'!T36)*118%</f>
        <v>26266.209926249998</v>
      </c>
      <c r="U36" s="67">
        <f>('COST_UPS SAVER'!U36*'COST_UPS SAVER (Allin)'!$D$3+'COST_UPS SAVER'!U36)*118%</f>
        <v>10590.628177499999</v>
      </c>
      <c r="V36" s="67">
        <f>('COST_UPS SAVER'!V36*'COST_UPS SAVER (Allin)'!$D$3+'COST_UPS SAVER'!V36)*118%</f>
        <v>20632.085092500001</v>
      </c>
      <c r="W36" s="67">
        <f>('COST_UPS SAVER'!W36*'COST_UPS SAVER (Allin)'!$D$3+'COST_UPS SAVER'!W36)*118%</f>
        <v>25414.529069999997</v>
      </c>
      <c r="X36" s="67">
        <f>('COST_UPS SAVER'!X36*'COST_UPS SAVER (Allin)'!$D$3+'COST_UPS SAVER'!X36)*118%</f>
        <v>23141.518522500002</v>
      </c>
      <c r="Y36" s="67">
        <f>('COST_UPS SAVER'!Y36*'COST_UPS SAVER (Allin)'!$D$3+'COST_UPS SAVER'!Y36)*118%</f>
        <v>25230.230917499997</v>
      </c>
      <c r="Z36" s="67">
        <f>('COST_UPS SAVER'!Z36*'COST_UPS SAVER (Allin)'!$D$3+'COST_UPS SAVER'!Z36)*118%</f>
        <v>23053.092641250001</v>
      </c>
      <c r="AA36" s="67">
        <f>('COST_UPS SAVER'!AA36*'COST_UPS SAVER (Allin)'!$D$3+'COST_UPS SAVER'!AA36)*118%</f>
        <v>14239.359277500002</v>
      </c>
      <c r="AB36" s="67">
        <f>('COST_UPS SAVER'!AB36*'COST_UPS SAVER (Allin)'!$D$3+'COST_UPS SAVER'!AB36)*118%</f>
        <v>15571.33228875</v>
      </c>
      <c r="AC36" s="67">
        <f>('COST_UPS SAVER'!AC36*'COST_UPS SAVER (Allin)'!$D$3+'COST_UPS SAVER'!AC36)*118%</f>
        <v>14540.938072500001</v>
      </c>
      <c r="AD36" s="67">
        <f>('COST_UPS SAVER'!AD36*'COST_UPS SAVER (Allin)'!$D$3+'COST_UPS SAVER'!AD36)*118%</f>
        <v>23594.817513749997</v>
      </c>
      <c r="AE36" s="67">
        <f>('COST_UPS SAVER'!AE36*'COST_UPS SAVER (Allin)'!$D$3+'COST_UPS SAVER'!AE36)*118%</f>
        <v>24751.800359999997</v>
      </c>
      <c r="AF36" s="67">
        <f>('COST_UPS SAVER'!AF36*'COST_UPS SAVER (Allin)'!$D$3+'COST_UPS SAVER'!AF36)*118%</f>
        <v>25232.092515</v>
      </c>
      <c r="AG36" s="68">
        <f>('COST_UPS SAVER'!AG36*'COST_UPS SAVER (Allin)'!$D$3+'COST_UPS SAVER'!AG36)*118%</f>
        <v>24746.215567499999</v>
      </c>
      <c r="AI36" s="24"/>
      <c r="AJ36" s="10" t="s">
        <v>113</v>
      </c>
      <c r="AK36" s="5"/>
      <c r="AL36" s="5"/>
      <c r="AM36" s="5"/>
      <c r="AN36" s="5"/>
      <c r="AO36" s="5"/>
      <c r="AP36" s="5"/>
      <c r="AQ36" s="5"/>
      <c r="AR36" s="1"/>
      <c r="AS36" s="1"/>
      <c r="AT36" s="1"/>
    </row>
    <row r="37" spans="1:46" x14ac:dyDescent="0.25">
      <c r="A37" s="27">
        <v>14</v>
      </c>
      <c r="B37" s="66">
        <f>('COST_UPS SAVER'!B37*'COST_UPS SAVER (Allin)'!$D$3+'COST_UPS SAVER'!B37)*118%</f>
        <v>13332.761294999998</v>
      </c>
      <c r="C37" s="67">
        <f>('COST_UPS SAVER'!C37*'COST_UPS SAVER (Allin)'!$D$3+'COST_UPS SAVER'!C37)*118%</f>
        <v>14291.484007500001</v>
      </c>
      <c r="D37" s="67">
        <f>('COST_UPS SAVER'!D37*'COST_UPS SAVER (Allin)'!$D$3+'COST_UPS SAVER'!D37)*118%</f>
        <v>14835.070477500001</v>
      </c>
      <c r="E37" s="67">
        <f>('COST_UPS SAVER'!E37*'COST_UPS SAVER (Allin)'!$D$3+'COST_UPS SAVER'!E37)*118%</f>
        <v>13719.973574999998</v>
      </c>
      <c r="F37" s="67">
        <f>('COST_UPS SAVER'!F37*'COST_UPS SAVER (Allin)'!$D$3+'COST_UPS SAVER'!F37)*118%</f>
        <v>13831.669424999998</v>
      </c>
      <c r="G37" s="67">
        <f>('COST_UPS SAVER'!G37*'COST_UPS SAVER (Allin)'!$D$3+'COST_UPS SAVER'!G37)*118%</f>
        <v>13941.503677500001</v>
      </c>
      <c r="H37" s="67">
        <f>('COST_UPS SAVER'!H37*'COST_UPS SAVER (Allin)'!$D$3+'COST_UPS SAVER'!H37)*118%</f>
        <v>9371.2818149999985</v>
      </c>
      <c r="I37" s="67">
        <f>('COST_UPS SAVER'!I37*'COST_UPS SAVER (Allin)'!$D$3+'COST_UPS SAVER'!I37)*118%</f>
        <v>9723.1237424999999</v>
      </c>
      <c r="J37" s="67">
        <f>('COST_UPS SAVER'!J37*'COST_UPS SAVER (Allin)'!$D$3+'COST_UPS SAVER'!J37)*118%</f>
        <v>9927.8994674999994</v>
      </c>
      <c r="K37" s="67">
        <f>('COST_UPS SAVER'!K37*'COST_UPS SAVER (Allin)'!$D$3+'COST_UPS SAVER'!K37)*118%</f>
        <v>10529.195460000001</v>
      </c>
      <c r="L37" s="67">
        <f>('COST_UPS SAVER'!L37*'COST_UPS SAVER (Allin)'!$D$3+'COST_UPS SAVER'!L37)*118%</f>
        <v>10989.0100425</v>
      </c>
      <c r="M37" s="67">
        <f>('COST_UPS SAVER'!M37*'COST_UPS SAVER (Allin)'!$D$3+'COST_UPS SAVER'!M37)*118%</f>
        <v>11150.969024999999</v>
      </c>
      <c r="N37" s="67">
        <f>('COST_UPS SAVER'!N37*'COST_UPS SAVER (Allin)'!$D$3+'COST_UPS SAVER'!N37)*118%</f>
        <v>15590.879062499998</v>
      </c>
      <c r="O37" s="67">
        <f>('COST_UPS SAVER'!O37*'COST_UPS SAVER (Allin)'!$D$3+'COST_UPS SAVER'!O37)*118%</f>
        <v>13517.0594475</v>
      </c>
      <c r="P37" s="67">
        <f>('COST_UPS SAVER'!P37*'COST_UPS SAVER (Allin)'!$D$3+'COST_UPS SAVER'!P37)*118%</f>
        <v>15434.504872500002</v>
      </c>
      <c r="Q37" s="67">
        <f>('COST_UPS SAVER'!Q37*'COST_UPS SAVER (Allin)'!$D$3+'COST_UPS SAVER'!Q37)*118%</f>
        <v>17301.687164999999</v>
      </c>
      <c r="R37" s="67">
        <f>('COST_UPS SAVER'!R37*'COST_UPS SAVER (Allin)'!$D$3+'COST_UPS SAVER'!R37)*118%</f>
        <v>23368.633417499997</v>
      </c>
      <c r="S37" s="67">
        <f>('COST_UPS SAVER'!S37*'COST_UPS SAVER (Allin)'!$D$3+'COST_UPS SAVER'!S37)*118%</f>
        <v>16946.122042499999</v>
      </c>
      <c r="T37" s="67">
        <f>('COST_UPS SAVER'!T37*'COST_UPS SAVER (Allin)'!$D$3+'COST_UPS SAVER'!T37)*118%</f>
        <v>27011.779724999997</v>
      </c>
      <c r="U37" s="67">
        <f>('COST_UPS SAVER'!U37*'COST_UPS SAVER (Allin)'!$D$3+'COST_UPS SAVER'!U37)*118%</f>
        <v>10854.975022500001</v>
      </c>
      <c r="V37" s="67">
        <f>('COST_UPS SAVER'!V37*'COST_UPS SAVER (Allin)'!$D$3+'COST_UPS SAVER'!V37)*118%</f>
        <v>21173.809965</v>
      </c>
      <c r="W37" s="67">
        <f>('COST_UPS SAVER'!W37*'COST_UPS SAVER (Allin)'!$D$3+'COST_UPS SAVER'!W37)*118%</f>
        <v>26099.596949999996</v>
      </c>
      <c r="X37" s="67">
        <f>('COST_UPS SAVER'!X37*'COST_UPS SAVER (Allin)'!$D$3+'COST_UPS SAVER'!X37)*118%</f>
        <v>23753.984099999998</v>
      </c>
      <c r="Y37" s="67">
        <f>('COST_UPS SAVER'!Y37*'COST_UPS SAVER (Allin)'!$D$3+'COST_UPS SAVER'!Y37)*118%</f>
        <v>25883.65164</v>
      </c>
      <c r="Z37" s="67">
        <f>('COST_UPS SAVER'!Z37*'COST_UPS SAVER (Allin)'!$D$3+'COST_UPS SAVER'!Z37)*118%</f>
        <v>23575.270739999996</v>
      </c>
      <c r="AA37" s="67">
        <f>('COST_UPS SAVER'!AA37*'COST_UPS SAVER (Allin)'!$D$3+'COST_UPS SAVER'!AA37)*118%</f>
        <v>14583.754815</v>
      </c>
      <c r="AB37" s="67">
        <f>('COST_UPS SAVER'!AB37*'COST_UPS SAVER (Allin)'!$D$3+'COST_UPS SAVER'!AB37)*118%</f>
        <v>15965.060160000001</v>
      </c>
      <c r="AC37" s="67">
        <f>('COST_UPS SAVER'!AC37*'COST_UPS SAVER (Allin)'!$D$3+'COST_UPS SAVER'!AC37)*118%</f>
        <v>14896.503195000003</v>
      </c>
      <c r="AD37" s="67">
        <f>('COST_UPS SAVER'!AD37*'COST_UPS SAVER (Allin)'!$D$3+'COST_UPS SAVER'!AD37)*118%</f>
        <v>24150.504367500005</v>
      </c>
      <c r="AE37" s="67">
        <f>('COST_UPS SAVER'!AE37*'COST_UPS SAVER (Allin)'!$D$3+'COST_UPS SAVER'!AE37)*118%</f>
        <v>25421.975459999998</v>
      </c>
      <c r="AF37" s="67">
        <f>('COST_UPS SAVER'!AF37*'COST_UPS SAVER (Allin)'!$D$3+'COST_UPS SAVER'!AF37)*118%</f>
        <v>25891.098030000001</v>
      </c>
      <c r="AG37" s="68">
        <f>('COST_UPS SAVER'!AG37*'COST_UPS SAVER (Allin)'!$D$3+'COST_UPS SAVER'!AG37)*118%</f>
        <v>25362.404340000001</v>
      </c>
      <c r="AI37" s="24"/>
      <c r="AJ37" s="10" t="s">
        <v>114</v>
      </c>
      <c r="AK37" s="5"/>
      <c r="AL37" s="5"/>
      <c r="AM37" s="5"/>
      <c r="AN37" s="5"/>
      <c r="AO37" s="5"/>
      <c r="AP37" s="5"/>
      <c r="AQ37" s="5"/>
      <c r="AR37" s="1"/>
      <c r="AS37" s="1"/>
      <c r="AT37" s="1"/>
    </row>
    <row r="38" spans="1:46" x14ac:dyDescent="0.25">
      <c r="A38" s="27">
        <v>14.5</v>
      </c>
      <c r="B38" s="66">
        <f>('COST_UPS SAVER'!B38*'COST_UPS SAVER (Allin)'!$D$3+'COST_UPS SAVER'!B38)*118%</f>
        <v>13723.69677</v>
      </c>
      <c r="C38" s="67">
        <f>('COST_UPS SAVER'!C38*'COST_UPS SAVER (Allin)'!$D$3+'COST_UPS SAVER'!C38)*118%</f>
        <v>14715.9282375</v>
      </c>
      <c r="D38" s="67">
        <f>('COST_UPS SAVER'!D38*'COST_UPS SAVER (Allin)'!$D$3+'COST_UPS SAVER'!D38)*118%</f>
        <v>15276.269085</v>
      </c>
      <c r="E38" s="67">
        <f>('COST_UPS SAVER'!E38*'COST_UPS SAVER (Allin)'!$D$3+'COST_UPS SAVER'!E38)*118%</f>
        <v>14146.279402500002</v>
      </c>
      <c r="F38" s="67">
        <f>('COST_UPS SAVER'!F38*'COST_UPS SAVER (Allin)'!$D$3+'COST_UPS SAVER'!F38)*118%</f>
        <v>14259.836849999998</v>
      </c>
      <c r="G38" s="67">
        <f>('COST_UPS SAVER'!G38*'COST_UPS SAVER (Allin)'!$D$3+'COST_UPS SAVER'!G38)*118%</f>
        <v>14375.255894999998</v>
      </c>
      <c r="H38" s="67">
        <f>('COST_UPS SAVER'!H38*'COST_UPS SAVER (Allin)'!$D$3+'COST_UPS SAVER'!H38)*118%</f>
        <v>9715.677352499999</v>
      </c>
      <c r="I38" s="67">
        <f>('COST_UPS SAVER'!I38*'COST_UPS SAVER (Allin)'!$D$3+'COST_UPS SAVER'!I38)*118%</f>
        <v>10078.688864999996</v>
      </c>
      <c r="J38" s="67">
        <f>('COST_UPS SAVER'!J38*'COST_UPS SAVER (Allin)'!$D$3+'COST_UPS SAVER'!J38)*118%</f>
        <v>10290.910980000001</v>
      </c>
      <c r="K38" s="67">
        <f>('COST_UPS SAVER'!K38*'COST_UPS SAVER (Allin)'!$D$3+'COST_UPS SAVER'!K38)*118%</f>
        <v>10912.684544999998</v>
      </c>
      <c r="L38" s="67">
        <f>('COST_UPS SAVER'!L38*'COST_UPS SAVER (Allin)'!$D$3+'COST_UPS SAVER'!L38)*118%</f>
        <v>11383.668712499999</v>
      </c>
      <c r="M38" s="67">
        <f>('COST_UPS SAVER'!M38*'COST_UPS SAVER (Allin)'!$D$3+'COST_UPS SAVER'!M38)*118%</f>
        <v>11551.212487499999</v>
      </c>
      <c r="N38" s="67">
        <f>('COST_UPS SAVER'!N38*'COST_UPS SAVER (Allin)'!$D$3+'COST_UPS SAVER'!N38)*118%</f>
        <v>15978.091342499998</v>
      </c>
      <c r="O38" s="67">
        <f>('COST_UPS SAVER'!O38*'COST_UPS SAVER (Allin)'!$D$3+'COST_UPS SAVER'!O38)*118%</f>
        <v>13913.579715000002</v>
      </c>
      <c r="P38" s="67">
        <f>('COST_UPS SAVER'!P38*'COST_UPS SAVER (Allin)'!$D$3+'COST_UPS SAVER'!P38)*118%</f>
        <v>15898.042649999999</v>
      </c>
      <c r="Q38" s="67">
        <f>('COST_UPS SAVER'!Q38*'COST_UPS SAVER (Allin)'!$D$3+'COST_UPS SAVER'!Q38)*118%</f>
        <v>18003.509422499999</v>
      </c>
      <c r="R38" s="67">
        <f>('COST_UPS SAVER'!R38*'COST_UPS SAVER (Allin)'!$D$3+'COST_UPS SAVER'!R38)*118%</f>
        <v>23974.583403749999</v>
      </c>
      <c r="S38" s="67">
        <f>('COST_UPS SAVER'!S38*'COST_UPS SAVER (Allin)'!$D$3+'COST_UPS SAVER'!S38)*118%</f>
        <v>17327.749529999997</v>
      </c>
      <c r="T38" s="67">
        <f>('COST_UPS SAVER'!T38*'COST_UPS SAVER (Allin)'!$D$3+'COST_UPS SAVER'!T38)*118%</f>
        <v>27822.505436249998</v>
      </c>
      <c r="U38" s="67">
        <f>('COST_UPS SAVER'!U38*'COST_UPS SAVER (Allin)'!$D$3+'COST_UPS SAVER'!U38)*118%</f>
        <v>11199.370559999999</v>
      </c>
      <c r="V38" s="67">
        <f>('COST_UPS SAVER'!V38*'COST_UPS SAVER (Allin)'!$D$3+'COST_UPS SAVER'!V38)*118%</f>
        <v>21821.645894999998</v>
      </c>
      <c r="W38" s="67">
        <f>('COST_UPS SAVER'!W38*'COST_UPS SAVER (Allin)'!$D$3+'COST_UPS SAVER'!W38)*118%</f>
        <v>26859.12873</v>
      </c>
      <c r="X38" s="67">
        <f>('COST_UPS SAVER'!X38*'COST_UPS SAVER (Allin)'!$D$3+'COST_UPS SAVER'!X38)*118%</f>
        <v>24440.913577500003</v>
      </c>
      <c r="Y38" s="67">
        <f>('COST_UPS SAVER'!Y38*'COST_UPS SAVER (Allin)'!$D$3+'COST_UPS SAVER'!Y38)*118%</f>
        <v>26609.674664999999</v>
      </c>
      <c r="Z38" s="67">
        <f>('COST_UPS SAVER'!Z38*'COST_UPS SAVER (Allin)'!$D$3+'COST_UPS SAVER'!Z38)*118%</f>
        <v>24493.969106250002</v>
      </c>
      <c r="AA38" s="67">
        <f>('COST_UPS SAVER'!AA38*'COST_UPS SAVER (Allin)'!$D$3+'COST_UPS SAVER'!AA38)*118%</f>
        <v>15037.984604999998</v>
      </c>
      <c r="AB38" s="67">
        <f>('COST_UPS SAVER'!AB38*'COST_UPS SAVER (Allin)'!$D$3+'COST_UPS SAVER'!AB38)*118%</f>
        <v>16468.622283749999</v>
      </c>
      <c r="AC38" s="67">
        <f>('COST_UPS SAVER'!AC38*'COST_UPS SAVER (Allin)'!$D$3+'COST_UPS SAVER'!AC38)*118%</f>
        <v>15361.902569999998</v>
      </c>
      <c r="AD38" s="67">
        <f>('COST_UPS SAVER'!AD38*'COST_UPS SAVER (Allin)'!$D$3+'COST_UPS SAVER'!AD38)*118%</f>
        <v>24802.994291249994</v>
      </c>
      <c r="AE38" s="67">
        <f>('COST_UPS SAVER'!AE38*'COST_UPS SAVER (Allin)'!$D$3+'COST_UPS SAVER'!AE38)*118%</f>
        <v>26194.538422500002</v>
      </c>
      <c r="AF38" s="67">
        <f>('COST_UPS SAVER'!AF38*'COST_UPS SAVER (Allin)'!$D$3+'COST_UPS SAVER'!AF38)*118%</f>
        <v>26661.799394999998</v>
      </c>
      <c r="AG38" s="68">
        <f>('COST_UPS SAVER'!AG38*'COST_UPS SAVER (Allin)'!$D$3+'COST_UPS SAVER'!AG38)*118%</f>
        <v>26088.427364999996</v>
      </c>
      <c r="AR38" s="1"/>
      <c r="AS38" s="1"/>
      <c r="AT38" s="1"/>
    </row>
    <row r="39" spans="1:46" x14ac:dyDescent="0.25">
      <c r="A39" s="27">
        <v>15</v>
      </c>
      <c r="B39" s="66">
        <f>('COST_UPS SAVER'!B39*'COST_UPS SAVER (Allin)'!$D$3+'COST_UPS SAVER'!B39)*118%</f>
        <v>14043.891540000001</v>
      </c>
      <c r="C39" s="67">
        <f>('COST_UPS SAVER'!C39*'COST_UPS SAVER (Allin)'!$D$3+'COST_UPS SAVER'!C39)*118%</f>
        <v>15067.770165</v>
      </c>
      <c r="D39" s="67">
        <f>('COST_UPS SAVER'!D39*'COST_UPS SAVER (Allin)'!$D$3+'COST_UPS SAVER'!D39)*118%</f>
        <v>15644.865390000001</v>
      </c>
      <c r="E39" s="67">
        <f>('COST_UPS SAVER'!E39*'COST_UPS SAVER (Allin)'!$D$3+'COST_UPS SAVER'!E39)*118%</f>
        <v>14513.014109999998</v>
      </c>
      <c r="F39" s="67">
        <f>('COST_UPS SAVER'!F39*'COST_UPS SAVER (Allin)'!$D$3+'COST_UPS SAVER'!F39)*118%</f>
        <v>14630.294752500002</v>
      </c>
      <c r="G39" s="67">
        <f>('COST_UPS SAVER'!G39*'COST_UPS SAVER (Allin)'!$D$3+'COST_UPS SAVER'!G39)*118%</f>
        <v>14747.575395</v>
      </c>
      <c r="H39" s="67">
        <f>('COST_UPS SAVER'!H39*'COST_UPS SAVER (Allin)'!$D$3+'COST_UPS SAVER'!H39)*118%</f>
        <v>9994.9169774999973</v>
      </c>
      <c r="I39" s="67">
        <f>('COST_UPS SAVER'!I39*'COST_UPS SAVER (Allin)'!$D$3+'COST_UPS SAVER'!I39)*118%</f>
        <v>10369.098075</v>
      </c>
      <c r="J39" s="67">
        <f>('COST_UPS SAVER'!J39*'COST_UPS SAVER (Allin)'!$D$3+'COST_UPS SAVER'!J39)*118%</f>
        <v>10581.320189999999</v>
      </c>
      <c r="K39" s="67">
        <f>('COST_UPS SAVER'!K39*'COST_UPS SAVER (Allin)'!$D$3+'COST_UPS SAVER'!K39)*118%</f>
        <v>11221.70973</v>
      </c>
      <c r="L39" s="67">
        <f>('COST_UPS SAVER'!L39*'COST_UPS SAVER (Allin)'!$D$3+'COST_UPS SAVER'!L39)*118%</f>
        <v>11718.756262499999</v>
      </c>
      <c r="M39" s="67">
        <f>('COST_UPS SAVER'!M39*'COST_UPS SAVER (Allin)'!$D$3+'COST_UPS SAVER'!M39)*118%</f>
        <v>11891.884830000003</v>
      </c>
      <c r="N39" s="67">
        <f>('COST_UPS SAVER'!N39*'COST_UPS SAVER (Allin)'!$D$3+'COST_UPS SAVER'!N39)*118%</f>
        <v>16292.701319999998</v>
      </c>
      <c r="O39" s="67">
        <f>('COST_UPS SAVER'!O39*'COST_UPS SAVER (Allin)'!$D$3+'COST_UPS SAVER'!O39)*118%</f>
        <v>14243.082472499998</v>
      </c>
      <c r="P39" s="67">
        <f>('COST_UPS SAVER'!P39*'COST_UPS SAVER (Allin)'!$D$3+'COST_UPS SAVER'!P39)*118%</f>
        <v>16281.531735</v>
      </c>
      <c r="Q39" s="67">
        <f>('COST_UPS SAVER'!Q39*'COST_UPS SAVER (Allin)'!$D$3+'COST_UPS SAVER'!Q39)*118%</f>
        <v>18506.140747500001</v>
      </c>
      <c r="R39" s="67">
        <f>('COST_UPS SAVER'!R39*'COST_UPS SAVER (Allin)'!$D$3+'COST_UPS SAVER'!R39)*118%</f>
        <v>24511.654282499992</v>
      </c>
      <c r="S39" s="67">
        <f>('COST_UPS SAVER'!S39*'COST_UPS SAVER (Allin)'!$D$3+'COST_UPS SAVER'!S39)*118%</f>
        <v>17644.221104999997</v>
      </c>
      <c r="T39" s="67">
        <f>('COST_UPS SAVER'!T39*'COST_UPS SAVER (Allin)'!$D$3+'COST_UPS SAVER'!T39)*118%</f>
        <v>28547.5976625</v>
      </c>
      <c r="U39" s="67">
        <f>('COST_UPS SAVER'!U39*'COST_UPS SAVER (Allin)'!$D$3+'COST_UPS SAVER'!U39)*118%</f>
        <v>11467.440600000002</v>
      </c>
      <c r="V39" s="67">
        <f>('COST_UPS SAVER'!V39*'COST_UPS SAVER (Allin)'!$D$3+'COST_UPS SAVER'!V39)*118%</f>
        <v>22372.678754999997</v>
      </c>
      <c r="W39" s="67">
        <f>('COST_UPS SAVER'!W39*'COST_UPS SAVER (Allin)'!$D$3+'COST_UPS SAVER'!W39)*118%</f>
        <v>27547.919805000001</v>
      </c>
      <c r="X39" s="67">
        <f>('COST_UPS SAVER'!X39*'COST_UPS SAVER (Allin)'!$D$3+'COST_UPS SAVER'!X39)*118%</f>
        <v>25047.794362499997</v>
      </c>
      <c r="Y39" s="67">
        <f>('COST_UPS SAVER'!Y39*'COST_UPS SAVER (Allin)'!$D$3+'COST_UPS SAVER'!Y39)*118%</f>
        <v>27266.8185825</v>
      </c>
      <c r="Z39" s="67">
        <f>('COST_UPS SAVER'!Z39*'COST_UPS SAVER (Allin)'!$D$3+'COST_UPS SAVER'!Z39)*118%</f>
        <v>25018.008802499997</v>
      </c>
      <c r="AA39" s="67">
        <f>('COST_UPS SAVER'!AA39*'COST_UPS SAVER (Allin)'!$D$3+'COST_UPS SAVER'!AA39)*118%</f>
        <v>15384.241739999999</v>
      </c>
      <c r="AB39" s="67">
        <f>('COST_UPS SAVER'!AB39*'COST_UPS SAVER (Allin)'!$D$3+'COST_UPS SAVER'!AB39)*118%</f>
        <v>16864.211752499999</v>
      </c>
      <c r="AC39" s="67">
        <f>('COST_UPS SAVER'!AC39*'COST_UPS SAVER (Allin)'!$D$3+'COST_UPS SAVER'!AC39)*118%</f>
        <v>15719.32929</v>
      </c>
      <c r="AD39" s="67">
        <f>('COST_UPS SAVER'!AD39*'COST_UPS SAVER (Allin)'!$D$3+'COST_UPS SAVER'!AD39)*118%</f>
        <v>25349.373157499995</v>
      </c>
      <c r="AE39" s="67">
        <f>('COST_UPS SAVER'!AE39*'COST_UPS SAVER (Allin)'!$D$3+'COST_UPS SAVER'!AE39)*118%</f>
        <v>26844.235949999995</v>
      </c>
      <c r="AF39" s="67">
        <f>('COST_UPS SAVER'!AF39*'COST_UPS SAVER (Allin)'!$D$3+'COST_UPS SAVER'!AF39)*118%</f>
        <v>27324.528104999998</v>
      </c>
      <c r="AG39" s="68">
        <f>('COST_UPS SAVER'!AG39*'COST_UPS SAVER (Allin)'!$D$3+'COST_UPS SAVER'!AG39)*118%</f>
        <v>26708.339332499996</v>
      </c>
      <c r="AR39" s="1"/>
      <c r="AS39" s="1"/>
      <c r="AT39" s="1"/>
    </row>
    <row r="40" spans="1:46" x14ac:dyDescent="0.25">
      <c r="A40" s="27">
        <v>15.5</v>
      </c>
      <c r="B40" s="66">
        <f>('COST_UPS SAVER'!B40*'COST_UPS SAVER (Allin)'!$D$3+'COST_UPS SAVER'!B40)*118%</f>
        <v>14434.827014999999</v>
      </c>
      <c r="C40" s="67">
        <f>('COST_UPS SAVER'!C40*'COST_UPS SAVER (Allin)'!$D$3+'COST_UPS SAVER'!C40)*118%</f>
        <v>15490.352797500002</v>
      </c>
      <c r="D40" s="67">
        <f>('COST_UPS SAVER'!D40*'COST_UPS SAVER (Allin)'!$D$3+'COST_UPS SAVER'!D40)*118%</f>
        <v>16084.2024</v>
      </c>
      <c r="E40" s="67">
        <f>('COST_UPS SAVER'!E40*'COST_UPS SAVER (Allin)'!$D$3+'COST_UPS SAVER'!E40)*118%</f>
        <v>16255.469369999999</v>
      </c>
      <c r="F40" s="67">
        <f>('COST_UPS SAVER'!F40*'COST_UPS SAVER (Allin)'!$D$3+'COST_UPS SAVER'!F40)*118%</f>
        <v>16387.642792499999</v>
      </c>
      <c r="G40" s="67">
        <f>('COST_UPS SAVER'!G40*'COST_UPS SAVER (Allin)'!$D$3+'COST_UPS SAVER'!G40)*118%</f>
        <v>16519.816215000003</v>
      </c>
      <c r="H40" s="67">
        <f>('COST_UPS SAVER'!H40*'COST_UPS SAVER (Allin)'!$D$3+'COST_UPS SAVER'!H40)*118%</f>
        <v>11031.826784999999</v>
      </c>
      <c r="I40" s="67">
        <f>('COST_UPS SAVER'!I40*'COST_UPS SAVER (Allin)'!$D$3+'COST_UPS SAVER'!I40)*118%</f>
        <v>11718.756262499999</v>
      </c>
      <c r="J40" s="67">
        <f>('COST_UPS SAVER'!J40*'COST_UPS SAVER (Allin)'!$D$3+'COST_UPS SAVER'!J40)*118%</f>
        <v>11769.019394999999</v>
      </c>
      <c r="K40" s="67">
        <f>('COST_UPS SAVER'!K40*'COST_UPS SAVER (Allin)'!$D$3+'COST_UPS SAVER'!K40)*118%</f>
        <v>12135.754102499999</v>
      </c>
      <c r="L40" s="67">
        <f>('COST_UPS SAVER'!L40*'COST_UPS SAVER (Allin)'!$D$3+'COST_UPS SAVER'!L40)*118%</f>
        <v>12956.718599999998</v>
      </c>
      <c r="M40" s="67">
        <f>('COST_UPS SAVER'!M40*'COST_UPS SAVER (Allin)'!$D$3+'COST_UPS SAVER'!M40)*118%</f>
        <v>13451.903534999998</v>
      </c>
      <c r="N40" s="67">
        <f>('COST_UPS SAVER'!N40*'COST_UPS SAVER (Allin)'!$D$3+'COST_UPS SAVER'!N40)*118%</f>
        <v>18310.673010000002</v>
      </c>
      <c r="O40" s="67">
        <f>('COST_UPS SAVER'!O40*'COST_UPS SAVER (Allin)'!$D$3+'COST_UPS SAVER'!O40)*118%</f>
        <v>16041.385657500001</v>
      </c>
      <c r="P40" s="67">
        <f>('COST_UPS SAVER'!P40*'COST_UPS SAVER (Allin)'!$D$3+'COST_UPS SAVER'!P40)*118%</f>
        <v>18485.663175000002</v>
      </c>
      <c r="Q40" s="67">
        <f>('COST_UPS SAVER'!Q40*'COST_UPS SAVER (Allin)'!$D$3+'COST_UPS SAVER'!Q40)*118%</f>
        <v>20998.819800000001</v>
      </c>
      <c r="R40" s="67">
        <f>('COST_UPS SAVER'!R40*'COST_UPS SAVER (Allin)'!$D$3+'COST_UPS SAVER'!R40)*118%</f>
        <v>27018.295316250002</v>
      </c>
      <c r="S40" s="67">
        <f>('COST_UPS SAVER'!S40*'COST_UPS SAVER (Allin)'!$D$3+'COST_UPS SAVER'!S40)*118%</f>
        <v>19807.397399999994</v>
      </c>
      <c r="T40" s="67">
        <f>('COST_UPS SAVER'!T40*'COST_UPS SAVER (Allin)'!$D$3+'COST_UPS SAVER'!T40)*118%</f>
        <v>31741.16817375</v>
      </c>
      <c r="U40" s="67">
        <f>('COST_UPS SAVER'!U40*'COST_UPS SAVER (Allin)'!$D$3+'COST_UPS SAVER'!U40)*118%</f>
        <v>12876.669907499998</v>
      </c>
      <c r="V40" s="67">
        <f>('COST_UPS SAVER'!V40*'COST_UPS SAVER (Allin)'!$D$3+'COST_UPS SAVER'!V40)*118%</f>
        <v>25300.971622499997</v>
      </c>
      <c r="W40" s="67">
        <f>('COST_UPS SAVER'!W40*'COST_UPS SAVER (Allin)'!$D$3+'COST_UPS SAVER'!W40)*118%</f>
        <v>31150.110967500004</v>
      </c>
      <c r="X40" s="67">
        <f>('COST_UPS SAVER'!X40*'COST_UPS SAVER (Allin)'!$D$3+'COST_UPS SAVER'!X40)*118%</f>
        <v>25732.862242500007</v>
      </c>
      <c r="Y40" s="67">
        <f>('COST_UPS SAVER'!Y40*'COST_UPS SAVER (Allin)'!$D$3+'COST_UPS SAVER'!Y40)*118%</f>
        <v>27990.980009999996</v>
      </c>
      <c r="Z40" s="67">
        <f>('COST_UPS SAVER'!Z40*'COST_UPS SAVER (Allin)'!$D$3+'COST_UPS SAVER'!Z40)*118%</f>
        <v>25936.707168749992</v>
      </c>
      <c r="AA40" s="67">
        <f>('COST_UPS SAVER'!AA40*'COST_UPS SAVER (Allin)'!$D$3+'COST_UPS SAVER'!AA40)*118%</f>
        <v>15838.471529999999</v>
      </c>
      <c r="AB40" s="67">
        <f>('COST_UPS SAVER'!AB40*'COST_UPS SAVER (Allin)'!$D$3+'COST_UPS SAVER'!AB40)*118%</f>
        <v>17367.773876249998</v>
      </c>
      <c r="AC40" s="67">
        <f>('COST_UPS SAVER'!AC40*'COST_UPS SAVER (Allin)'!$D$3+'COST_UPS SAVER'!AC40)*118%</f>
        <v>16184.728664999999</v>
      </c>
      <c r="AD40" s="67">
        <f>('COST_UPS SAVER'!AD40*'COST_UPS SAVER (Allin)'!$D$3+'COST_UPS SAVER'!AD40)*118%</f>
        <v>27902.554128750002</v>
      </c>
      <c r="AE40" s="67">
        <f>('COST_UPS SAVER'!AE40*'COST_UPS SAVER (Allin)'!$D$3+'COST_UPS SAVER'!AE40)*118%</f>
        <v>29999.643712499994</v>
      </c>
      <c r="AF40" s="67">
        <f>('COST_UPS SAVER'!AF40*'COST_UPS SAVER (Allin)'!$D$3+'COST_UPS SAVER'!AF40)*118%</f>
        <v>30937.8888525</v>
      </c>
      <c r="AG40" s="68">
        <f>('COST_UPS SAVER'!AG40*'COST_UPS SAVER (Allin)'!$D$3+'COST_UPS SAVER'!AG40)*118%</f>
        <v>27432.500759999995</v>
      </c>
      <c r="AR40" s="1"/>
      <c r="AS40" s="1"/>
      <c r="AT40" s="1"/>
    </row>
    <row r="41" spans="1:46" x14ac:dyDescent="0.25">
      <c r="A41" s="27">
        <v>16</v>
      </c>
      <c r="B41" s="66">
        <f>('COST_UPS SAVER'!B41*'COST_UPS SAVER (Allin)'!$D$3+'COST_UPS SAVER'!B41)*118%</f>
        <v>14753.160187499998</v>
      </c>
      <c r="C41" s="67">
        <f>('COST_UPS SAVER'!C41*'COST_UPS SAVER (Allin)'!$D$3+'COST_UPS SAVER'!C41)*118%</f>
        <v>15840.3331275</v>
      </c>
      <c r="D41" s="67">
        <f>('COST_UPS SAVER'!D41*'COST_UPS SAVER (Allin)'!$D$3+'COST_UPS SAVER'!D41)*118%</f>
        <v>16452.798704999997</v>
      </c>
      <c r="E41" s="67">
        <f>('COST_UPS SAVER'!E41*'COST_UPS SAVER (Allin)'!$D$3+'COST_UPS SAVER'!E41)*118%</f>
        <v>16598.00331</v>
      </c>
      <c r="F41" s="67">
        <f>('COST_UPS SAVER'!F41*'COST_UPS SAVER (Allin)'!$D$3+'COST_UPS SAVER'!F41)*118%</f>
        <v>16733.899927499999</v>
      </c>
      <c r="G41" s="67">
        <f>('COST_UPS SAVER'!G41*'COST_UPS SAVER (Allin)'!$D$3+'COST_UPS SAVER'!G41)*118%</f>
        <v>16869.796545000001</v>
      </c>
      <c r="H41" s="67">
        <f>('COST_UPS SAVER'!H41*'COST_UPS SAVER (Allin)'!$D$3+'COST_UPS SAVER'!H41)*118%</f>
        <v>11325.959189999998</v>
      </c>
      <c r="I41" s="67">
        <f>('COST_UPS SAVER'!I41*'COST_UPS SAVER (Allin)'!$D$3+'COST_UPS SAVER'!I41)*118%</f>
        <v>12033.366239999999</v>
      </c>
      <c r="J41" s="67">
        <f>('COST_UPS SAVER'!J41*'COST_UPS SAVER (Allin)'!$D$3+'COST_UPS SAVER'!J41)*118%</f>
        <v>12096.660555</v>
      </c>
      <c r="K41" s="67">
        <f>('COST_UPS SAVER'!K41*'COST_UPS SAVER (Allin)'!$D$3+'COST_UPS SAVER'!K41)*118%</f>
        <v>12474.564847499998</v>
      </c>
      <c r="L41" s="67">
        <f>('COST_UPS SAVER'!L41*'COST_UPS SAVER (Allin)'!$D$3+'COST_UPS SAVER'!L41)*118%</f>
        <v>13325.314904999999</v>
      </c>
      <c r="M41" s="67">
        <f>('COST_UPS SAVER'!M41*'COST_UPS SAVER (Allin)'!$D$3+'COST_UPS SAVER'!M41)*118%</f>
        <v>13837.254217500002</v>
      </c>
      <c r="N41" s="67">
        <f>('COST_UPS SAVER'!N41*'COST_UPS SAVER (Allin)'!$D$3+'COST_UPS SAVER'!N41)*118%</f>
        <v>18655.068547499999</v>
      </c>
      <c r="O41" s="67">
        <f>('COST_UPS SAVER'!O41*'COST_UPS SAVER (Allin)'!$D$3+'COST_UPS SAVER'!O41)*118%</f>
        <v>16296.424514999999</v>
      </c>
      <c r="P41" s="67">
        <f>('COST_UPS SAVER'!P41*'COST_UPS SAVER (Allin)'!$D$3+'COST_UPS SAVER'!P41)*118%</f>
        <v>18934.308172500001</v>
      </c>
      <c r="Q41" s="67">
        <f>('COST_UPS SAVER'!Q41*'COST_UPS SAVER (Allin)'!$D$3+'COST_UPS SAVER'!Q41)*118%</f>
        <v>21661.548509999997</v>
      </c>
      <c r="R41" s="67">
        <f>('COST_UPS SAVER'!R41*'COST_UPS SAVER (Allin)'!$D$3+'COST_UPS SAVER'!R41)*118%</f>
        <v>27592.598145</v>
      </c>
      <c r="S41" s="67">
        <f>('COST_UPS SAVER'!S41*'COST_UPS SAVER (Allin)'!$D$3+'COST_UPS SAVER'!S41)*118%</f>
        <v>20151.792937500002</v>
      </c>
      <c r="T41" s="67">
        <f>('COST_UPS SAVER'!T41*'COST_UPS SAVER (Allin)'!$D$3+'COST_UPS SAVER'!T41)*118%</f>
        <v>32542.585897499997</v>
      </c>
      <c r="U41" s="67">
        <f>('COST_UPS SAVER'!U41*'COST_UPS SAVER (Allin)'!$D$3+'COST_UPS SAVER'!U41)*118%</f>
        <v>13150.32474</v>
      </c>
      <c r="V41" s="67">
        <f>('COST_UPS SAVER'!V41*'COST_UPS SAVER (Allin)'!$D$3+'COST_UPS SAVER'!V41)*118%</f>
        <v>25905.990809999999</v>
      </c>
      <c r="W41" s="67">
        <f>('COST_UPS SAVER'!W41*'COST_UPS SAVER (Allin)'!$D$3+'COST_UPS SAVER'!W41)*118%</f>
        <v>31920.812332500002</v>
      </c>
      <c r="X41" s="67">
        <f>('COST_UPS SAVER'!X41*'COST_UPS SAVER (Allin)'!$D$3+'COST_UPS SAVER'!X41)*118%</f>
        <v>26343.466222500003</v>
      </c>
      <c r="Y41" s="67">
        <f>('COST_UPS SAVER'!Y41*'COST_UPS SAVER (Allin)'!$D$3+'COST_UPS SAVER'!Y41)*118%</f>
        <v>28644.400732499998</v>
      </c>
      <c r="Z41" s="67">
        <f>('COST_UPS SAVER'!Z41*'COST_UPS SAVER (Allin)'!$D$3+'COST_UPS SAVER'!Z41)*118%</f>
        <v>26458.885267500002</v>
      </c>
      <c r="AA41" s="67">
        <f>('COST_UPS SAVER'!AA41*'COST_UPS SAVER (Allin)'!$D$3+'COST_UPS SAVER'!AA41)*118%</f>
        <v>16182.867067499998</v>
      </c>
      <c r="AB41" s="67">
        <f>('COST_UPS SAVER'!AB41*'COST_UPS SAVER (Allin)'!$D$3+'COST_UPS SAVER'!AB41)*118%</f>
        <v>17761.501747500002</v>
      </c>
      <c r="AC41" s="67">
        <f>('COST_UPS SAVER'!AC41*'COST_UPS SAVER (Allin)'!$D$3+'COST_UPS SAVER'!AC41)*118%</f>
        <v>16540.293787499999</v>
      </c>
      <c r="AD41" s="67">
        <f>('COST_UPS SAVER'!AD41*'COST_UPS SAVER (Allin)'!$D$3+'COST_UPS SAVER'!AD41)*118%</f>
        <v>28486.164944999997</v>
      </c>
      <c r="AE41" s="67">
        <f>('COST_UPS SAVER'!AE41*'COST_UPS SAVER (Allin)'!$D$3+'COST_UPS SAVER'!AE41)*118%</f>
        <v>30725.666737499996</v>
      </c>
      <c r="AF41" s="67">
        <f>('COST_UPS SAVER'!AF41*'COST_UPS SAVER (Allin)'!$D$3+'COST_UPS SAVER'!AF41)*118%</f>
        <v>31682.527852499999</v>
      </c>
      <c r="AG41" s="68">
        <f>('COST_UPS SAVER'!AG41*'COST_UPS SAVER (Allin)'!$D$3+'COST_UPS SAVER'!AG41)*118%</f>
        <v>28048.689532499993</v>
      </c>
      <c r="AR41" s="1"/>
      <c r="AS41" s="1"/>
      <c r="AT41" s="1"/>
    </row>
    <row r="42" spans="1:46" x14ac:dyDescent="0.25">
      <c r="A42" s="27">
        <v>16.5</v>
      </c>
      <c r="B42" s="66">
        <f>('COST_UPS SAVER'!B42*'COST_UPS SAVER (Allin)'!$D$3+'COST_UPS SAVER'!B42)*118%</f>
        <v>15147.818857499999</v>
      </c>
      <c r="C42" s="67">
        <f>('COST_UPS SAVER'!C42*'COST_UPS SAVER (Allin)'!$D$3+'COST_UPS SAVER'!C42)*118%</f>
        <v>16266.638954999999</v>
      </c>
      <c r="D42" s="67">
        <f>('COST_UPS SAVER'!D42*'COST_UPS SAVER (Allin)'!$D$3+'COST_UPS SAVER'!D42)*118%</f>
        <v>16895.858909999999</v>
      </c>
      <c r="E42" s="67">
        <f>('COST_UPS SAVER'!E42*'COST_UPS SAVER (Allin)'!$D$3+'COST_UPS SAVER'!E42)*118%</f>
        <v>17028.032332499999</v>
      </c>
      <c r="F42" s="67">
        <f>('COST_UPS SAVER'!F42*'COST_UPS SAVER (Allin)'!$D$3+'COST_UPS SAVER'!F42)*118%</f>
        <v>17165.790547500001</v>
      </c>
      <c r="G42" s="67">
        <f>('COST_UPS SAVER'!G42*'COST_UPS SAVER (Allin)'!$D$3+'COST_UPS SAVER'!G42)*118%</f>
        <v>17305.410360000002</v>
      </c>
      <c r="H42" s="67">
        <f>('COST_UPS SAVER'!H42*'COST_UPS SAVER (Allin)'!$D$3+'COST_UPS SAVER'!H42)*118%</f>
        <v>11692.693897499999</v>
      </c>
      <c r="I42" s="67">
        <f>('COST_UPS SAVER'!I42*'COST_UPS SAVER (Allin)'!$D$3+'COST_UPS SAVER'!I42)*118%</f>
        <v>12418.716922499998</v>
      </c>
      <c r="J42" s="67">
        <f>('COST_UPS SAVER'!J42*'COST_UPS SAVER (Allin)'!$D$3+'COST_UPS SAVER'!J42)*118%</f>
        <v>12480.149640000001</v>
      </c>
      <c r="K42" s="67">
        <f>('COST_UPS SAVER'!K42*'COST_UPS SAVER (Allin)'!$D$3+'COST_UPS SAVER'!K42)*118%</f>
        <v>12869.223517500001</v>
      </c>
      <c r="L42" s="67">
        <f>('COST_UPS SAVER'!L42*'COST_UPS SAVER (Allin)'!$D$3+'COST_UPS SAVER'!L42)*118%</f>
        <v>13742.312744999999</v>
      </c>
      <c r="M42" s="67">
        <f>('COST_UPS SAVER'!M42*'COST_UPS SAVER (Allin)'!$D$3+'COST_UPS SAVER'!M42)*118%</f>
        <v>14269.144837499998</v>
      </c>
      <c r="N42" s="67">
        <f>('COST_UPS SAVER'!N42*'COST_UPS SAVER (Allin)'!$D$3+'COST_UPS SAVER'!N42)*118%</f>
        <v>19075.789582499998</v>
      </c>
      <c r="O42" s="67">
        <f>('COST_UPS SAVER'!O42*'COST_UPS SAVER (Allin)'!$D$3+'COST_UPS SAVER'!O42)*118%</f>
        <v>16506.7850325</v>
      </c>
      <c r="P42" s="67">
        <f>('COST_UPS SAVER'!P42*'COST_UPS SAVER (Allin)'!$D$3+'COST_UPS SAVER'!P42)*118%</f>
        <v>19435.077899999997</v>
      </c>
      <c r="Q42" s="67">
        <f>('COST_UPS SAVER'!Q42*'COST_UPS SAVER (Allin)'!$D$3+'COST_UPS SAVER'!Q42)*118%</f>
        <v>22296.353257499999</v>
      </c>
      <c r="R42" s="67">
        <f>('COST_UPS SAVER'!R42*'COST_UPS SAVER (Allin)'!$D$3+'COST_UPS SAVER'!R42)*118%</f>
        <v>28239.503276249998</v>
      </c>
      <c r="S42" s="67">
        <f>('COST_UPS SAVER'!S42*'COST_UPS SAVER (Allin)'!$D$3+'COST_UPS SAVER'!S42)*118%</f>
        <v>20574.37557</v>
      </c>
      <c r="T42" s="67">
        <f>('COST_UPS SAVER'!T42*'COST_UPS SAVER (Allin)'!$D$3+'COST_UPS SAVER'!T42)*118%</f>
        <v>33401.713143749992</v>
      </c>
      <c r="U42" s="67">
        <f>('COST_UPS SAVER'!U42*'COST_UPS SAVER (Allin)'!$D$3+'COST_UPS SAVER'!U42)*118%</f>
        <v>13498.443472499999</v>
      </c>
      <c r="V42" s="67">
        <f>('COST_UPS SAVER'!V42*'COST_UPS SAVER (Allin)'!$D$3+'COST_UPS SAVER'!V42)*118%</f>
        <v>26605.951469999993</v>
      </c>
      <c r="W42" s="67">
        <f>('COST_UPS SAVER'!W42*'COST_UPS SAVER (Allin)'!$D$3+'COST_UPS SAVER'!W42)*118%</f>
        <v>32749.22322</v>
      </c>
      <c r="X42" s="67">
        <f>('COST_UPS SAVER'!X42*'COST_UPS SAVER (Allin)'!$D$3+'COST_UPS SAVER'!X42)*118%</f>
        <v>27028.534102499998</v>
      </c>
      <c r="Y42" s="67">
        <f>('COST_UPS SAVER'!Y42*'COST_UPS SAVER (Allin)'!$D$3+'COST_UPS SAVER'!Y42)*118%</f>
        <v>29376.008549999999</v>
      </c>
      <c r="Z42" s="67">
        <f>('COST_UPS SAVER'!Z42*'COST_UPS SAVER (Allin)'!$D$3+'COST_UPS SAVER'!Z42)*118%</f>
        <v>27381.306828749999</v>
      </c>
      <c r="AA42" s="67">
        <f>('COST_UPS SAVER'!AA42*'COST_UPS SAVER (Allin)'!$D$3+'COST_UPS SAVER'!AA42)*118%</f>
        <v>16640.820052499999</v>
      </c>
      <c r="AB42" s="67">
        <f>('COST_UPS SAVER'!AB42*'COST_UPS SAVER (Allin)'!$D$3+'COST_UPS SAVER'!AB42)*118%</f>
        <v>18268.787066249995</v>
      </c>
      <c r="AC42" s="67">
        <f>('COST_UPS SAVER'!AC42*'COST_UPS SAVER (Allin)'!$D$3+'COST_UPS SAVER'!AC42)*118%</f>
        <v>17009.416357499998</v>
      </c>
      <c r="AD42" s="67">
        <f>('COST_UPS SAVER'!AD42*'COST_UPS SAVER (Allin)'!$D$3+'COST_UPS SAVER'!AD42)*118%</f>
        <v>29179.610013750003</v>
      </c>
      <c r="AE42" s="67">
        <f>('COST_UPS SAVER'!AE42*'COST_UPS SAVER (Allin)'!$D$3+'COST_UPS SAVER'!AE42)*118%</f>
        <v>31546.631234999997</v>
      </c>
      <c r="AF42" s="67">
        <f>('COST_UPS SAVER'!AF42*'COST_UPS SAVER (Allin)'!$D$3+'COST_UPS SAVER'!AF42)*118%</f>
        <v>32522.108324999997</v>
      </c>
      <c r="AG42" s="68">
        <f>('COST_UPS SAVER'!AG42*'COST_UPS SAVER (Allin)'!$D$3+'COST_UPS SAVER'!AG42)*118%</f>
        <v>28780.297350000001</v>
      </c>
      <c r="AR42" s="1"/>
      <c r="AS42" s="1"/>
      <c r="AT42" s="1"/>
    </row>
    <row r="43" spans="1:46" x14ac:dyDescent="0.25">
      <c r="A43" s="27">
        <v>17</v>
      </c>
      <c r="B43" s="66">
        <f>('COST_UPS SAVER'!B43*'COST_UPS SAVER (Allin)'!$D$3+'COST_UPS SAVER'!B43)*118%</f>
        <v>15464.290432499998</v>
      </c>
      <c r="C43" s="67">
        <f>('COST_UPS SAVER'!C43*'COST_UPS SAVER (Allin)'!$D$3+'COST_UPS SAVER'!C43)*118%</f>
        <v>16616.619285000001</v>
      </c>
      <c r="D43" s="67">
        <f>('COST_UPS SAVER'!D43*'COST_UPS SAVER (Allin)'!$D$3+'COST_UPS SAVER'!D43)*118%</f>
        <v>17260.732019999999</v>
      </c>
      <c r="E43" s="67">
        <f>('COST_UPS SAVER'!E43*'COST_UPS SAVER (Allin)'!$D$3+'COST_UPS SAVER'!E43)*118%</f>
        <v>17361.258285</v>
      </c>
      <c r="F43" s="67">
        <f>('COST_UPS SAVER'!F43*'COST_UPS SAVER (Allin)'!$D$3+'COST_UPS SAVER'!F43)*118%</f>
        <v>17502.739694999997</v>
      </c>
      <c r="G43" s="67">
        <f>('COST_UPS SAVER'!G43*'COST_UPS SAVER (Allin)'!$D$3+'COST_UPS SAVER'!G43)*118%</f>
        <v>17644.221104999997</v>
      </c>
      <c r="H43" s="67">
        <f>('COST_UPS SAVER'!H43*'COST_UPS SAVER (Allin)'!$D$3+'COST_UPS SAVER'!H43)*118%</f>
        <v>11996.13429</v>
      </c>
      <c r="I43" s="67">
        <f>('COST_UPS SAVER'!I43*'COST_UPS SAVER (Allin)'!$D$3+'COST_UPS SAVER'!I43)*118%</f>
        <v>12744.496484999996</v>
      </c>
      <c r="J43" s="67">
        <f>('COST_UPS SAVER'!J43*'COST_UPS SAVER (Allin)'!$D$3+'COST_UPS SAVER'!J43)*118%</f>
        <v>12802.206007500001</v>
      </c>
      <c r="K43" s="67">
        <f>('COST_UPS SAVER'!K43*'COST_UPS SAVER (Allin)'!$D$3+'COST_UPS SAVER'!K43)*118%</f>
        <v>13202.44947</v>
      </c>
      <c r="L43" s="67">
        <f>('COST_UPS SAVER'!L43*'COST_UPS SAVER (Allin)'!$D$3+'COST_UPS SAVER'!L43)*118%</f>
        <v>14103.462659999999</v>
      </c>
      <c r="M43" s="67">
        <f>('COST_UPS SAVER'!M43*'COST_UPS SAVER (Allin)'!$D$3+'COST_UPS SAVER'!M43)*118%</f>
        <v>14643.325935000001</v>
      </c>
      <c r="N43" s="67">
        <f>('COST_UPS SAVER'!N43*'COST_UPS SAVER (Allin)'!$D$3+'COST_UPS SAVER'!N43)*118%</f>
        <v>19418.323522500003</v>
      </c>
      <c r="O43" s="67">
        <f>('COST_UPS SAVER'!O43*'COST_UPS SAVER (Allin)'!$D$3+'COST_UPS SAVER'!O43)*118%</f>
        <v>16759.962292499997</v>
      </c>
      <c r="P43" s="67">
        <f>('COST_UPS SAVER'!P43*'COST_UPS SAVER (Allin)'!$D$3+'COST_UPS SAVER'!P43)*118%</f>
        <v>19881.8613</v>
      </c>
      <c r="Q43" s="67">
        <f>('COST_UPS SAVER'!Q43*'COST_UPS SAVER (Allin)'!$D$3+'COST_UPS SAVER'!Q43)*118%</f>
        <v>22918.126822499999</v>
      </c>
      <c r="R43" s="67">
        <f>('COST_UPS SAVER'!R43*'COST_UPS SAVER (Allin)'!$D$3+'COST_UPS SAVER'!R43)*118%</f>
        <v>28808.221312499994</v>
      </c>
      <c r="S43" s="67">
        <f>('COST_UPS SAVER'!S43*'COST_UPS SAVER (Allin)'!$D$3+'COST_UPS SAVER'!S43)*118%</f>
        <v>20918.771107499997</v>
      </c>
      <c r="T43" s="67">
        <f>('COST_UPS SAVER'!T43*'COST_UPS SAVER (Allin)'!$D$3+'COST_UPS SAVER'!T43)*118%</f>
        <v>34208.715659999994</v>
      </c>
      <c r="U43" s="67">
        <f>('COST_UPS SAVER'!U43*'COST_UPS SAVER (Allin)'!$D$3+'COST_UPS SAVER'!U43)*118%</f>
        <v>13772.098305</v>
      </c>
      <c r="V43" s="67">
        <f>('COST_UPS SAVER'!V43*'COST_UPS SAVER (Allin)'!$D$3+'COST_UPS SAVER'!V43)*118%</f>
        <v>27130.921964999998</v>
      </c>
      <c r="W43" s="67">
        <f>('COST_UPS SAVER'!W43*'COST_UPS SAVER (Allin)'!$D$3+'COST_UPS SAVER'!W43)*118%</f>
        <v>33516.201389999995</v>
      </c>
      <c r="X43" s="67">
        <f>('COST_UPS SAVER'!X43*'COST_UPS SAVER (Allin)'!$D$3+'COST_UPS SAVER'!X43)*118%</f>
        <v>27572.120572499996</v>
      </c>
      <c r="Y43" s="67">
        <f>('COST_UPS SAVER'!Y43*'COST_UPS SAVER (Allin)'!$D$3+'COST_UPS SAVER'!Y43)*118%</f>
        <v>30027.567674999995</v>
      </c>
      <c r="Z43" s="67">
        <f>('COST_UPS SAVER'!Z43*'COST_UPS SAVER (Allin)'!$D$3+'COST_UPS SAVER'!Z43)*118%</f>
        <v>27901.623329999999</v>
      </c>
      <c r="AA43" s="67">
        <f>('COST_UPS SAVER'!AA43*'COST_UPS SAVER (Allin)'!$D$3+'COST_UPS SAVER'!AA43)*118%</f>
        <v>16983.3539925</v>
      </c>
      <c r="AB43" s="67">
        <f>('COST_UPS SAVER'!AB43*'COST_UPS SAVER (Allin)'!$D$3+'COST_UPS SAVER'!AB43)*118%</f>
        <v>18660.653340000001</v>
      </c>
      <c r="AC43" s="67">
        <f>('COST_UPS SAVER'!AC43*'COST_UPS SAVER (Allin)'!$D$3+'COST_UPS SAVER'!AC43)*118%</f>
        <v>17363.119882499999</v>
      </c>
      <c r="AD43" s="67">
        <f>('COST_UPS SAVER'!AD43*'COST_UPS SAVER (Allin)'!$D$3+'COST_UPS SAVER'!AD43)*118%</f>
        <v>29757.636037499997</v>
      </c>
      <c r="AE43" s="67">
        <f>('COST_UPS SAVER'!AE43*'COST_UPS SAVER (Allin)'!$D$3+'COST_UPS SAVER'!AE43)*118%</f>
        <v>32278.239052499997</v>
      </c>
      <c r="AF43" s="67">
        <f>('COST_UPS SAVER'!AF43*'COST_UPS SAVER (Allin)'!$D$3+'COST_UPS SAVER'!AF43)*118%</f>
        <v>33263.024129999998</v>
      </c>
      <c r="AG43" s="68">
        <f>('COST_UPS SAVER'!AG43*'COST_UPS SAVER (Allin)'!$D$3+'COST_UPS SAVER'!AG43)*118%</f>
        <v>29394.624524999999</v>
      </c>
      <c r="AR43" s="1"/>
      <c r="AS43" s="1"/>
      <c r="AT43" s="1"/>
    </row>
    <row r="44" spans="1:46" x14ac:dyDescent="0.25">
      <c r="A44" s="27">
        <v>17.5</v>
      </c>
      <c r="B44" s="66">
        <f>('COST_UPS SAVER'!B44*'COST_UPS SAVER (Allin)'!$D$3+'COST_UPS SAVER'!B44)*118%</f>
        <v>15857.087504999998</v>
      </c>
      <c r="C44" s="67">
        <f>('COST_UPS SAVER'!C44*'COST_UPS SAVER (Allin)'!$D$3+'COST_UPS SAVER'!C44)*118%</f>
        <v>17039.201917499999</v>
      </c>
      <c r="D44" s="67">
        <f>('COST_UPS SAVER'!D44*'COST_UPS SAVER (Allin)'!$D$3+'COST_UPS SAVER'!D44)*118%</f>
        <v>17701.930627500002</v>
      </c>
      <c r="E44" s="67">
        <f>('COST_UPS SAVER'!E44*'COST_UPS SAVER (Allin)'!$D$3+'COST_UPS SAVER'!E44)*118%</f>
        <v>17789.42571</v>
      </c>
      <c r="F44" s="67">
        <f>('COST_UPS SAVER'!F44*'COST_UPS SAVER (Allin)'!$D$3+'COST_UPS SAVER'!F44)*118%</f>
        <v>17934.630314999999</v>
      </c>
      <c r="G44" s="67">
        <f>('COST_UPS SAVER'!G44*'COST_UPS SAVER (Allin)'!$D$3+'COST_UPS SAVER'!G44)*118%</f>
        <v>18077.973322500002</v>
      </c>
      <c r="H44" s="67">
        <f>('COST_UPS SAVER'!H44*'COST_UPS SAVER (Allin)'!$D$3+'COST_UPS SAVER'!H44)*118%</f>
        <v>12364.730594999999</v>
      </c>
      <c r="I44" s="67">
        <f>('COST_UPS SAVER'!I44*'COST_UPS SAVER (Allin)'!$D$3+'COST_UPS SAVER'!I44)*118%</f>
        <v>13131.708765000001</v>
      </c>
      <c r="J44" s="67">
        <f>('COST_UPS SAVER'!J44*'COST_UPS SAVER (Allin)'!$D$3+'COST_UPS SAVER'!J44)*118%</f>
        <v>13198.726274999999</v>
      </c>
      <c r="K44" s="67">
        <f>('COST_UPS SAVER'!K44*'COST_UPS SAVER (Allin)'!$D$3+'COST_UPS SAVER'!K44)*118%</f>
        <v>13610.139322499999</v>
      </c>
      <c r="L44" s="67">
        <f>('COST_UPS SAVER'!L44*'COST_UPS SAVER (Allin)'!$D$3+'COST_UPS SAVER'!L44)*118%</f>
        <v>14522.3220975</v>
      </c>
      <c r="M44" s="67">
        <f>('COST_UPS SAVER'!M44*'COST_UPS SAVER (Allin)'!$D$3+'COST_UPS SAVER'!M44)*118%</f>
        <v>15077.0781525</v>
      </c>
      <c r="N44" s="67">
        <f>('COST_UPS SAVER'!N44*'COST_UPS SAVER (Allin)'!$D$3+'COST_UPS SAVER'!N44)*118%</f>
        <v>19833.459765000003</v>
      </c>
      <c r="O44" s="67">
        <f>('COST_UPS SAVER'!O44*'COST_UPS SAVER (Allin)'!$D$3+'COST_UPS SAVER'!O44)*118%</f>
        <v>17082.018659999998</v>
      </c>
      <c r="P44" s="67">
        <f>('COST_UPS SAVER'!P44*'COST_UPS SAVER (Allin)'!$D$3+'COST_UPS SAVER'!P44)*118%</f>
        <v>20401.247002499997</v>
      </c>
      <c r="Q44" s="67">
        <f>('COST_UPS SAVER'!Q44*'COST_UPS SAVER (Allin)'!$D$3+'COST_UPS SAVER'!Q44)*118%</f>
        <v>23552.931569999997</v>
      </c>
      <c r="R44" s="67">
        <f>('COST_UPS SAVER'!R44*'COST_UPS SAVER (Allin)'!$D$3+'COST_UPS SAVER'!R44)*118%</f>
        <v>29458.849638750002</v>
      </c>
      <c r="S44" s="67">
        <f>('COST_UPS SAVER'!S44*'COST_UPS SAVER (Allin)'!$D$3+'COST_UPS SAVER'!S44)*118%</f>
        <v>21333.907349999998</v>
      </c>
      <c r="T44" s="67">
        <f>('COST_UPS SAVER'!T44*'COST_UPS SAVER (Allin)'!$D$3+'COST_UPS SAVER'!T44)*118%</f>
        <v>35090.182076249999</v>
      </c>
      <c r="U44" s="67">
        <f>('COST_UPS SAVER'!U44*'COST_UPS SAVER (Allin)'!$D$3+'COST_UPS SAVER'!U44)*118%</f>
        <v>14109.047452500001</v>
      </c>
      <c r="V44" s="67">
        <f>('COST_UPS SAVER'!V44*'COST_UPS SAVER (Allin)'!$D$3+'COST_UPS SAVER'!V44)*118%</f>
        <v>27765.726712499996</v>
      </c>
      <c r="W44" s="67">
        <f>('COST_UPS SAVER'!W44*'COST_UPS SAVER (Allin)'!$D$3+'COST_UPS SAVER'!W44)*118%</f>
        <v>34337.165887499992</v>
      </c>
      <c r="X44" s="67">
        <f>('COST_UPS SAVER'!X44*'COST_UPS SAVER (Allin)'!$D$3+'COST_UPS SAVER'!X44)*118%</f>
        <v>28190.170942500001</v>
      </c>
      <c r="Y44" s="67">
        <f>('COST_UPS SAVER'!Y44*'COST_UPS SAVER (Allin)'!$D$3+'COST_UPS SAVER'!Y44)*118%</f>
        <v>30751.729102499998</v>
      </c>
      <c r="Z44" s="67">
        <f>('COST_UPS SAVER'!Z44*'COST_UPS SAVER (Allin)'!$D$3+'COST_UPS SAVER'!Z44)*118%</f>
        <v>28822.183293749997</v>
      </c>
      <c r="AA44" s="67">
        <f>('COST_UPS SAVER'!AA44*'COST_UPS SAVER (Allin)'!$D$3+'COST_UPS SAVER'!AA44)*118%</f>
        <v>17439.445379999997</v>
      </c>
      <c r="AB44" s="67">
        <f>('COST_UPS SAVER'!AB44*'COST_UPS SAVER (Allin)'!$D$3+'COST_UPS SAVER'!AB44)*118%</f>
        <v>19166.077061249998</v>
      </c>
      <c r="AC44" s="67">
        <f>('COST_UPS SAVER'!AC44*'COST_UPS SAVER (Allin)'!$D$3+'COST_UPS SAVER'!AC44)*118%</f>
        <v>17830.380854999996</v>
      </c>
      <c r="AD44" s="67">
        <f>('COST_UPS SAVER'!AD44*'COST_UPS SAVER (Allin)'!$D$3+'COST_UPS SAVER'!AD44)*118%</f>
        <v>30454.804301250002</v>
      </c>
      <c r="AE44" s="67">
        <f>('COST_UPS SAVER'!AE44*'COST_UPS SAVER (Allin)'!$D$3+'COST_UPS SAVER'!AE44)*118%</f>
        <v>33121.542720000005</v>
      </c>
      <c r="AF44" s="67">
        <f>('COST_UPS SAVER'!AF44*'COST_UPS SAVER (Allin)'!$D$3+'COST_UPS SAVER'!AF44)*118%</f>
        <v>34095.158212499999</v>
      </c>
      <c r="AG44" s="68">
        <f>('COST_UPS SAVER'!AG44*'COST_UPS SAVER (Allin)'!$D$3+'COST_UPS SAVER'!AG44)*118%</f>
        <v>30118.785952500006</v>
      </c>
      <c r="AR44" s="1"/>
      <c r="AS44" s="1"/>
      <c r="AT44" s="1"/>
    </row>
    <row r="45" spans="1:46" x14ac:dyDescent="0.25">
      <c r="A45" s="27">
        <v>18</v>
      </c>
      <c r="B45" s="66">
        <f>('COST_UPS SAVER'!B45*'COST_UPS SAVER (Allin)'!$D$3+'COST_UPS SAVER'!B45)*118%</f>
        <v>16158.666299999999</v>
      </c>
      <c r="C45" s="67">
        <f>('COST_UPS SAVER'!C45*'COST_UPS SAVER (Allin)'!$D$3+'COST_UPS SAVER'!C45)*118%</f>
        <v>17374.289467499999</v>
      </c>
      <c r="D45" s="67">
        <f>('COST_UPS SAVER'!D45*'COST_UPS SAVER (Allin)'!$D$3+'COST_UPS SAVER'!D45)*118%</f>
        <v>18051.9109575</v>
      </c>
      <c r="E45" s="67">
        <f>('COST_UPS SAVER'!E45*'COST_UPS SAVER (Allin)'!$D$3+'COST_UPS SAVER'!E45)*118%</f>
        <v>18163.6068075</v>
      </c>
      <c r="F45" s="67">
        <f>('COST_UPS SAVER'!F45*'COST_UPS SAVER (Allin)'!$D$3+'COST_UPS SAVER'!F45)*118%</f>
        <v>18310.673010000002</v>
      </c>
      <c r="G45" s="67">
        <f>('COST_UPS SAVER'!G45*'COST_UPS SAVER (Allin)'!$D$3+'COST_UPS SAVER'!G45)*118%</f>
        <v>18457.739212499997</v>
      </c>
      <c r="H45" s="67">
        <f>('COST_UPS SAVER'!H45*'COST_UPS SAVER (Allin)'!$D$3+'COST_UPS SAVER'!H45)*118%</f>
        <v>12657.001402500002</v>
      </c>
      <c r="I45" s="67">
        <f>('COST_UPS SAVER'!I45*'COST_UPS SAVER (Allin)'!$D$3+'COST_UPS SAVER'!I45)*118%</f>
        <v>13446.3187425</v>
      </c>
      <c r="J45" s="67">
        <f>('COST_UPS SAVER'!J45*'COST_UPS SAVER (Allin)'!$D$3+'COST_UPS SAVER'!J45)*118%</f>
        <v>13520.782642500002</v>
      </c>
      <c r="K45" s="67">
        <f>('COST_UPS SAVER'!K45*'COST_UPS SAVER (Allin)'!$D$3+'COST_UPS SAVER'!K45)*118%</f>
        <v>13943.365274999998</v>
      </c>
      <c r="L45" s="67">
        <f>('COST_UPS SAVER'!L45*'COST_UPS SAVER (Allin)'!$D$3+'COST_UPS SAVER'!L45)*118%</f>
        <v>14889.056805</v>
      </c>
      <c r="M45" s="67">
        <f>('COST_UPS SAVER'!M45*'COST_UPS SAVER (Allin)'!$D$3+'COST_UPS SAVER'!M45)*118%</f>
        <v>15458.705640000002</v>
      </c>
      <c r="N45" s="67">
        <f>('COST_UPS SAVER'!N45*'COST_UPS SAVER (Allin)'!$D$3+'COST_UPS SAVER'!N45)*118%</f>
        <v>20179.716899999996</v>
      </c>
      <c r="O45" s="67">
        <f>('COST_UPS SAVER'!O45*'COST_UPS SAVER (Allin)'!$D$3+'COST_UPS SAVER'!O45)*118%</f>
        <v>17337.057517499998</v>
      </c>
      <c r="P45" s="67">
        <f>('COST_UPS SAVER'!P45*'COST_UPS SAVER (Allin)'!$D$3+'COST_UPS SAVER'!P45)*118%</f>
        <v>20848.030402499997</v>
      </c>
      <c r="Q45" s="67">
        <f>('COST_UPS SAVER'!Q45*'COST_UPS SAVER (Allin)'!$D$3+'COST_UPS SAVER'!Q45)*118%</f>
        <v>24118.857209999998</v>
      </c>
      <c r="R45" s="67">
        <f>('COST_UPS SAVER'!R45*'COST_UPS SAVER (Allin)'!$D$3+'COST_UPS SAVER'!R45)*118%</f>
        <v>29999.643712499994</v>
      </c>
      <c r="S45" s="67">
        <f>('COST_UPS SAVER'!S45*'COST_UPS SAVER (Allin)'!$D$3+'COST_UPS SAVER'!S45)*118%</f>
        <v>21680.164484999998</v>
      </c>
      <c r="T45" s="67">
        <f>('COST_UPS SAVER'!T45*'COST_UPS SAVER (Allin)'!$D$3+'COST_UPS SAVER'!T45)*118%</f>
        <v>35897.184592500002</v>
      </c>
      <c r="U45" s="67">
        <f>('COST_UPS SAVER'!U45*'COST_UPS SAVER (Allin)'!$D$3+'COST_UPS SAVER'!U45)*118%</f>
        <v>14395.733467499998</v>
      </c>
      <c r="V45" s="67">
        <f>('COST_UPS SAVER'!V45*'COST_UPS SAVER (Allin)'!$D$3+'COST_UPS SAVER'!V45)*118%</f>
        <v>28311.174779999998</v>
      </c>
      <c r="W45" s="67">
        <f>('COST_UPS SAVER'!W45*'COST_UPS SAVER (Allin)'!$D$3+'COST_UPS SAVER'!W45)*118%</f>
        <v>35100.420862499996</v>
      </c>
      <c r="X45" s="67">
        <f>('COST_UPS SAVER'!X45*'COST_UPS SAVER (Allin)'!$D$3+'COST_UPS SAVER'!X45)*118%</f>
        <v>28735.619009999999</v>
      </c>
      <c r="Y45" s="67">
        <f>('COST_UPS SAVER'!Y45*'COST_UPS SAVER (Allin)'!$D$3+'COST_UPS SAVER'!Y45)*118%</f>
        <v>31373.502667499997</v>
      </c>
      <c r="Z45" s="67">
        <f>('COST_UPS SAVER'!Z45*'COST_UPS SAVER (Allin)'!$D$3+'COST_UPS SAVER'!Z45)*118%</f>
        <v>29327.607015000005</v>
      </c>
      <c r="AA45" s="67">
        <f>('COST_UPS SAVER'!AA45*'COST_UPS SAVER (Allin)'!$D$3+'COST_UPS SAVER'!AA45)*118%</f>
        <v>17767.08654</v>
      </c>
      <c r="AB45" s="67">
        <f>('COST_UPS SAVER'!AB45*'COST_UPS SAVER (Allin)'!$D$3+'COST_UPS SAVER'!AB45)*118%</f>
        <v>19543.050555000005</v>
      </c>
      <c r="AC45" s="67">
        <f>('COST_UPS SAVER'!AC45*'COST_UPS SAVER (Allin)'!$D$3+'COST_UPS SAVER'!AC45)*118%</f>
        <v>18169.191599999995</v>
      </c>
      <c r="AD45" s="67">
        <f>('COST_UPS SAVER'!AD45*'COST_UPS SAVER (Allin)'!$D$3+'COST_UPS SAVER'!AD45)*118%</f>
        <v>31004.906362499998</v>
      </c>
      <c r="AE45" s="67">
        <f>('COST_UPS SAVER'!AE45*'COST_UPS SAVER (Allin)'!$D$3+'COST_UPS SAVER'!AE45)*118%</f>
        <v>33853.150537499998</v>
      </c>
      <c r="AF45" s="67">
        <f>('COST_UPS SAVER'!AF45*'COST_UPS SAVER (Allin)'!$D$3+'COST_UPS SAVER'!AF45)*118%</f>
        <v>34832.350822499997</v>
      </c>
      <c r="AG45" s="68">
        <f>('COST_UPS SAVER'!AG45*'COST_UPS SAVER (Allin)'!$D$3+'COST_UPS SAVER'!AG45)*118%</f>
        <v>30703.327567499997</v>
      </c>
      <c r="AR45" s="1"/>
      <c r="AS45" s="1"/>
      <c r="AT45" s="1"/>
    </row>
    <row r="46" spans="1:46" x14ac:dyDescent="0.25">
      <c r="A46" s="27">
        <v>18.5</v>
      </c>
      <c r="B46" s="66">
        <f>('COST_UPS SAVER'!B46*'COST_UPS SAVER (Allin)'!$D$3+'COST_UPS SAVER'!B46)*118%</f>
        <v>16534.708995000001</v>
      </c>
      <c r="C46" s="67">
        <f>('COST_UPS SAVER'!C46*'COST_UPS SAVER (Allin)'!$D$3+'COST_UPS SAVER'!C46)*118%</f>
        <v>17781.979319999999</v>
      </c>
      <c r="D46" s="67">
        <f>('COST_UPS SAVER'!D46*'COST_UPS SAVER (Allin)'!$D$3+'COST_UPS SAVER'!D46)*118%</f>
        <v>18478.216785000001</v>
      </c>
      <c r="E46" s="67">
        <f>('COST_UPS SAVER'!E46*'COST_UPS SAVER (Allin)'!$D$3+'COST_UPS SAVER'!E46)*118%</f>
        <v>18614.113402499996</v>
      </c>
      <c r="F46" s="67">
        <f>('COST_UPS SAVER'!F46*'COST_UPS SAVER (Allin)'!$D$3+'COST_UPS SAVER'!F46)*118%</f>
        <v>18764.902799999996</v>
      </c>
      <c r="G46" s="67">
        <f>('COST_UPS SAVER'!G46*'COST_UPS SAVER (Allin)'!$D$3+'COST_UPS SAVER'!G46)*118%</f>
        <v>18915.6921975</v>
      </c>
      <c r="H46" s="67">
        <f>('COST_UPS SAVER'!H46*'COST_UPS SAVER (Allin)'!$D$3+'COST_UPS SAVER'!H46)*118%</f>
        <v>13027.459305</v>
      </c>
      <c r="I46" s="67">
        <f>('COST_UPS SAVER'!I46*'COST_UPS SAVER (Allin)'!$D$3+'COST_UPS SAVER'!I46)*118%</f>
        <v>13835.392619999999</v>
      </c>
      <c r="J46" s="67">
        <f>('COST_UPS SAVER'!J46*'COST_UPS SAVER (Allin)'!$D$3+'COST_UPS SAVER'!J46)*118%</f>
        <v>13913.579715000002</v>
      </c>
      <c r="K46" s="67">
        <f>('COST_UPS SAVER'!K46*'COST_UPS SAVER (Allin)'!$D$3+'COST_UPS SAVER'!K46)*118%</f>
        <v>14347.331932499997</v>
      </c>
      <c r="L46" s="67">
        <f>('COST_UPS SAVER'!L46*'COST_UPS SAVER (Allin)'!$D$3+'COST_UPS SAVER'!L46)*118%</f>
        <v>15315.3626325</v>
      </c>
      <c r="M46" s="67">
        <f>('COST_UPS SAVER'!M46*'COST_UPS SAVER (Allin)'!$D$3+'COST_UPS SAVER'!M46)*118%</f>
        <v>15901.765844999998</v>
      </c>
      <c r="N46" s="67">
        <f>('COST_UPS SAVER'!N46*'COST_UPS SAVER (Allin)'!$D$3+'COST_UPS SAVER'!N46)*118%</f>
        <v>20596.714739999999</v>
      </c>
      <c r="O46" s="67">
        <f>('COST_UPS SAVER'!O46*'COST_UPS SAVER (Allin)'!$D$3+'COST_UPS SAVER'!O46)*118%</f>
        <v>17662.837079999998</v>
      </c>
      <c r="P46" s="67">
        <f>('COST_UPS SAVER'!P46*'COST_UPS SAVER (Allin)'!$D$3+'COST_UPS SAVER'!P46)*118%</f>
        <v>21365.554507500001</v>
      </c>
      <c r="Q46" s="67">
        <f>('COST_UPS SAVER'!Q46*'COST_UPS SAVER (Allin)'!$D$3+'COST_UPS SAVER'!Q46)*118%</f>
        <v>24701.537227499997</v>
      </c>
      <c r="R46" s="67">
        <f>('COST_UPS SAVER'!R46*'COST_UPS SAVER (Allin)'!$D$3+'COST_UPS SAVER'!R46)*118%</f>
        <v>30618.624881249998</v>
      </c>
      <c r="S46" s="67">
        <f>('COST_UPS SAVER'!S46*'COST_UPS SAVER (Allin)'!$D$3+'COST_UPS SAVER'!S46)*118%</f>
        <v>22112.055104999996</v>
      </c>
      <c r="T46" s="67">
        <f>('COST_UPS SAVER'!T46*'COST_UPS SAVER (Allin)'!$D$3+'COST_UPS SAVER'!T46)*118%</f>
        <v>36774.92781375</v>
      </c>
      <c r="U46" s="67">
        <f>('COST_UPS SAVER'!U46*'COST_UPS SAVER (Allin)'!$D$3+'COST_UPS SAVER'!U46)*118%</f>
        <v>14741.9906025</v>
      </c>
      <c r="V46" s="67">
        <f>('COST_UPS SAVER'!V46*'COST_UPS SAVER (Allin)'!$D$3+'COST_UPS SAVER'!V46)*118%</f>
        <v>28929.225149999998</v>
      </c>
      <c r="W46" s="67">
        <f>('COST_UPS SAVER'!W46*'COST_UPS SAVER (Allin)'!$D$3+'COST_UPS SAVER'!W46)*118%</f>
        <v>35940.001334999994</v>
      </c>
      <c r="X46" s="67">
        <f>('COST_UPS SAVER'!X46*'COST_UPS SAVER (Allin)'!$D$3+'COST_UPS SAVER'!X46)*118%</f>
        <v>29355.530977499999</v>
      </c>
      <c r="Y46" s="67">
        <f>('COST_UPS SAVER'!Y46*'COST_UPS SAVER (Allin)'!$D$3+'COST_UPS SAVER'!Y46)*118%</f>
        <v>32071.601729999995</v>
      </c>
      <c r="Z46" s="67">
        <f>('COST_UPS SAVER'!Z46*'COST_UPS SAVER (Allin)'!$D$3+'COST_UPS SAVER'!Z46)*118%</f>
        <v>30231.412601250002</v>
      </c>
      <c r="AA46" s="67">
        <f>('COST_UPS SAVER'!AA46*'COST_UPS SAVER (Allin)'!$D$3+'COST_UPS SAVER'!AA46)*118%</f>
        <v>18206.42355</v>
      </c>
      <c r="AB46" s="67">
        <f>('COST_UPS SAVER'!AB46*'COST_UPS SAVER (Allin)'!$D$3+'COST_UPS SAVER'!AB46)*118%</f>
        <v>20031.719898750005</v>
      </c>
      <c r="AC46" s="67">
        <f>('COST_UPS SAVER'!AC46*'COST_UPS SAVER (Allin)'!$D$3+'COST_UPS SAVER'!AC46)*118%</f>
        <v>18619.698194999997</v>
      </c>
      <c r="AD46" s="67">
        <f>('COST_UPS SAVER'!AD46*'COST_UPS SAVER (Allin)'!$D$3+'COST_UPS SAVER'!AD46)*118%</f>
        <v>31670.42746875</v>
      </c>
      <c r="AE46" s="67">
        <f>('COST_UPS SAVER'!AE46*'COST_UPS SAVER (Allin)'!$D$3+'COST_UPS SAVER'!AE46)*118%</f>
        <v>34692.731009999996</v>
      </c>
      <c r="AF46" s="67">
        <f>('COST_UPS SAVER'!AF46*'COST_UPS SAVER (Allin)'!$D$3+'COST_UPS SAVER'!AF46)*118%</f>
        <v>35683.100880000005</v>
      </c>
      <c r="AG46" s="68">
        <f>('COST_UPS SAVER'!AG46*'COST_UPS SAVER (Allin)'!$D$3+'COST_UPS SAVER'!AG46)*118%</f>
        <v>31401.426629999998</v>
      </c>
      <c r="AR46" s="1"/>
      <c r="AS46" s="1"/>
      <c r="AT46" s="1"/>
    </row>
    <row r="47" spans="1:46" x14ac:dyDescent="0.25">
      <c r="A47" s="27">
        <v>19</v>
      </c>
      <c r="B47" s="66">
        <f>('COST_UPS SAVER'!B47*'COST_UPS SAVER (Allin)'!$D$3+'COST_UPS SAVER'!B47)*118%</f>
        <v>16875.381337499999</v>
      </c>
      <c r="C47" s="67">
        <f>('COST_UPS SAVER'!C47*'COST_UPS SAVER (Allin)'!$D$3+'COST_UPS SAVER'!C47)*118%</f>
        <v>18154.29882</v>
      </c>
      <c r="D47" s="67">
        <f>('COST_UPS SAVER'!D47*'COST_UPS SAVER (Allin)'!$D$3+'COST_UPS SAVER'!D47)*118%</f>
        <v>18867.2906625</v>
      </c>
      <c r="E47" s="67">
        <f>('COST_UPS SAVER'!E47*'COST_UPS SAVER (Allin)'!$D$3+'COST_UPS SAVER'!E47)*118%</f>
        <v>18986.432902499997</v>
      </c>
      <c r="F47" s="67">
        <f>('COST_UPS SAVER'!F47*'COST_UPS SAVER (Allin)'!$D$3+'COST_UPS SAVER'!F47)*118%</f>
        <v>19140.945495</v>
      </c>
      <c r="G47" s="67">
        <f>('COST_UPS SAVER'!G47*'COST_UPS SAVER (Allin)'!$D$3+'COST_UPS SAVER'!G47)*118%</f>
        <v>19293.596489999996</v>
      </c>
      <c r="H47" s="67">
        <f>('COST_UPS SAVER'!H47*'COST_UPS SAVER (Allin)'!$D$3+'COST_UPS SAVER'!H47)*118%</f>
        <v>13379.3012325</v>
      </c>
      <c r="I47" s="67">
        <f>('COST_UPS SAVER'!I47*'COST_UPS SAVER (Allin)'!$D$3+'COST_UPS SAVER'!I47)*118%</f>
        <v>14157.4489875</v>
      </c>
      <c r="J47" s="67">
        <f>('COST_UPS SAVER'!J47*'COST_UPS SAVER (Allin)'!$D$3+'COST_UPS SAVER'!J47)*118%</f>
        <v>14231.912887499999</v>
      </c>
      <c r="K47" s="67">
        <f>('COST_UPS SAVER'!K47*'COST_UPS SAVER (Allin)'!$D$3+'COST_UPS SAVER'!K47)*118%</f>
        <v>14676.83469</v>
      </c>
      <c r="L47" s="67">
        <f>('COST_UPS SAVER'!L47*'COST_UPS SAVER (Allin)'!$D$3+'COST_UPS SAVER'!L47)*118%</f>
        <v>15672.7893525</v>
      </c>
      <c r="M47" s="67">
        <f>('COST_UPS SAVER'!M47*'COST_UPS SAVER (Allin)'!$D$3+'COST_UPS SAVER'!M47)*118%</f>
        <v>16274.085345</v>
      </c>
      <c r="N47" s="67">
        <f>('COST_UPS SAVER'!N47*'COST_UPS SAVER (Allin)'!$D$3+'COST_UPS SAVER'!N47)*118%</f>
        <v>20935.525484999998</v>
      </c>
      <c r="O47" s="67">
        <f>('COST_UPS SAVER'!O47*'COST_UPS SAVER (Allin)'!$D$3+'COST_UPS SAVER'!O47)*118%</f>
        <v>17917.875937499994</v>
      </c>
      <c r="P47" s="67">
        <f>('COST_UPS SAVER'!P47*'COST_UPS SAVER (Allin)'!$D$3+'COST_UPS SAVER'!P47)*118%</f>
        <v>21812.337907499998</v>
      </c>
      <c r="Q47" s="67">
        <f>('COST_UPS SAVER'!Q47*'COST_UPS SAVER (Allin)'!$D$3+'COST_UPS SAVER'!Q47)*118%</f>
        <v>25338.203572499995</v>
      </c>
      <c r="R47" s="67">
        <f>('COST_UPS SAVER'!R47*'COST_UPS SAVER (Allin)'!$D$3+'COST_UPS SAVER'!R47)*118%</f>
        <v>31178.034930000002</v>
      </c>
      <c r="S47" s="67">
        <f>('COST_UPS SAVER'!S47*'COST_UPS SAVER (Allin)'!$D$3+'COST_UPS SAVER'!S47)*118%</f>
        <v>22454.589045000001</v>
      </c>
      <c r="T47" s="67">
        <f>('COST_UPS SAVER'!T47*'COST_UPS SAVER (Allin)'!$D$3+'COST_UPS SAVER'!T47)*118%</f>
        <v>37581.930330000003</v>
      </c>
      <c r="U47" s="67">
        <f>('COST_UPS SAVER'!U47*'COST_UPS SAVER (Allin)'!$D$3+'COST_UPS SAVER'!U47)*118%</f>
        <v>15013.783837499997</v>
      </c>
      <c r="V47" s="67">
        <f>('COST_UPS SAVER'!V47*'COST_UPS SAVER (Allin)'!$D$3+'COST_UPS SAVER'!V47)*118%</f>
        <v>29472.81162</v>
      </c>
      <c r="W47" s="67">
        <f>('COST_UPS SAVER'!W47*'COST_UPS SAVER (Allin)'!$D$3+'COST_UPS SAVER'!W47)*118%</f>
        <v>36703.256309999997</v>
      </c>
      <c r="X47" s="67">
        <f>('COST_UPS SAVER'!X47*'COST_UPS SAVER (Allin)'!$D$3+'COST_UPS SAVER'!X47)*118%</f>
        <v>29899.117447499997</v>
      </c>
      <c r="Y47" s="67">
        <f>('COST_UPS SAVER'!Y47*'COST_UPS SAVER (Allin)'!$D$3+'COST_UPS SAVER'!Y47)*118%</f>
        <v>32767.839195</v>
      </c>
      <c r="Z47" s="67">
        <f>('COST_UPS SAVER'!Z47*'COST_UPS SAVER (Allin)'!$D$3+'COST_UPS SAVER'!Z47)*118%</f>
        <v>30775.929870000004</v>
      </c>
      <c r="AA47" s="67">
        <f>('COST_UPS SAVER'!AA47*'COST_UPS SAVER (Allin)'!$D$3+'COST_UPS SAVER'!AA47)*118%</f>
        <v>18573.158257499999</v>
      </c>
      <c r="AB47" s="67">
        <f>('COST_UPS SAVER'!AB47*'COST_UPS SAVER (Allin)'!$D$3+'COST_UPS SAVER'!AB47)*118%</f>
        <v>20447.786940000002</v>
      </c>
      <c r="AC47" s="67">
        <f>('COST_UPS SAVER'!AC47*'COST_UPS SAVER (Allin)'!$D$3+'COST_UPS SAVER'!AC47)*118%</f>
        <v>18997.602487500004</v>
      </c>
      <c r="AD47" s="67">
        <f>('COST_UPS SAVER'!AD47*'COST_UPS SAVER (Allin)'!$D$3+'COST_UPS SAVER'!AD47)*118%</f>
        <v>32239.145505</v>
      </c>
      <c r="AE47" s="67">
        <f>('COST_UPS SAVER'!AE47*'COST_UPS SAVER (Allin)'!$D$3+'COST_UPS SAVER'!AE47)*118%</f>
        <v>35424.338827500003</v>
      </c>
      <c r="AF47" s="67">
        <f>('COST_UPS SAVER'!AF47*'COST_UPS SAVER (Allin)'!$D$3+'COST_UPS SAVER'!AF47)*118%</f>
        <v>36420.293489999996</v>
      </c>
      <c r="AG47" s="68">
        <f>('COST_UPS SAVER'!AG47*'COST_UPS SAVER (Allin)'!$D$3+'COST_UPS SAVER'!AG47)*118%</f>
        <v>32060.432145000002</v>
      </c>
      <c r="AR47" s="1"/>
      <c r="AS47" s="1"/>
      <c r="AT47" s="1"/>
    </row>
    <row r="48" spans="1:46" x14ac:dyDescent="0.25">
      <c r="A48" s="27">
        <v>19.5</v>
      </c>
      <c r="B48" s="66">
        <f>('COST_UPS SAVER'!B48*'COST_UPS SAVER (Allin)'!$D$3+'COST_UPS SAVER'!B48)*118%</f>
        <v>17292.379177499999</v>
      </c>
      <c r="C48" s="67">
        <f>('COST_UPS SAVER'!C48*'COST_UPS SAVER (Allin)'!$D$3+'COST_UPS SAVER'!C48)*118%</f>
        <v>18602.943817499996</v>
      </c>
      <c r="D48" s="67">
        <f>('COST_UPS SAVER'!D48*'COST_UPS SAVER (Allin)'!$D$3+'COST_UPS SAVER'!D48)*118%</f>
        <v>19334.551635</v>
      </c>
      <c r="E48" s="67">
        <f>('COST_UPS SAVER'!E48*'COST_UPS SAVER (Allin)'!$D$3+'COST_UPS SAVER'!E48)*118%</f>
        <v>19444.385887499993</v>
      </c>
      <c r="F48" s="67">
        <f>('COST_UPS SAVER'!F48*'COST_UPS SAVER (Allin)'!$D$3+'COST_UPS SAVER'!F48)*118%</f>
        <v>19602.621674999999</v>
      </c>
      <c r="G48" s="67">
        <f>('COST_UPS SAVER'!G48*'COST_UPS SAVER (Allin)'!$D$3+'COST_UPS SAVER'!G48)*118%</f>
        <v>19758.995864999997</v>
      </c>
      <c r="H48" s="67">
        <f>('COST_UPS SAVER'!H48*'COST_UPS SAVER (Allin)'!$D$3+'COST_UPS SAVER'!H48)*118%</f>
        <v>13807.468657499998</v>
      </c>
      <c r="I48" s="67">
        <f>('COST_UPS SAVER'!I48*'COST_UPS SAVER (Allin)'!$D$3+'COST_UPS SAVER'!I48)*118%</f>
        <v>14552.107657500001</v>
      </c>
      <c r="J48" s="67">
        <f>('COST_UPS SAVER'!J48*'COST_UPS SAVER (Allin)'!$D$3+'COST_UPS SAVER'!J48)*118%</f>
        <v>14619.125167499997</v>
      </c>
      <c r="K48" s="67">
        <f>('COST_UPS SAVER'!K48*'COST_UPS SAVER (Allin)'!$D$3+'COST_UPS SAVER'!K48)*118%</f>
        <v>15073.354957499998</v>
      </c>
      <c r="L48" s="67">
        <f>('COST_UPS SAVER'!L48*'COST_UPS SAVER (Allin)'!$D$3+'COST_UPS SAVER'!L48)*118%</f>
        <v>16106.541569999998</v>
      </c>
      <c r="M48" s="67">
        <f>('COST_UPS SAVER'!M48*'COST_UPS SAVER (Allin)'!$D$3+'COST_UPS SAVER'!M48)*118%</f>
        <v>16720.868745</v>
      </c>
      <c r="N48" s="67">
        <f>('COST_UPS SAVER'!N48*'COST_UPS SAVER (Allin)'!$D$3+'COST_UPS SAVER'!N48)*118%</f>
        <v>21354.384922500001</v>
      </c>
      <c r="O48" s="67">
        <f>('COST_UPS SAVER'!O48*'COST_UPS SAVER (Allin)'!$D$3+'COST_UPS SAVER'!O48)*118%</f>
        <v>18245.5170975</v>
      </c>
      <c r="P48" s="67">
        <f>('COST_UPS SAVER'!P48*'COST_UPS SAVER (Allin)'!$D$3+'COST_UPS SAVER'!P48)*118%</f>
        <v>22331.723610000001</v>
      </c>
      <c r="Q48" s="67">
        <f>('COST_UPS SAVER'!Q48*'COST_UPS SAVER (Allin)'!$D$3+'COST_UPS SAVER'!Q48)*118%</f>
        <v>25982.316307499997</v>
      </c>
      <c r="R48" s="67">
        <f>('COST_UPS SAVER'!R48*'COST_UPS SAVER (Allin)'!$D$3+'COST_UPS SAVER'!R48)*118%</f>
        <v>31802.600891249993</v>
      </c>
      <c r="S48" s="67">
        <f>('COST_UPS SAVER'!S48*'COST_UPS SAVER (Allin)'!$D$3+'COST_UPS SAVER'!S48)*118%</f>
        <v>22888.341262499998</v>
      </c>
      <c r="T48" s="67">
        <f>('COST_UPS SAVER'!T48*'COST_UPS SAVER (Allin)'!$D$3+'COST_UPS SAVER'!T48)*118%</f>
        <v>38465.25834375</v>
      </c>
      <c r="U48" s="67">
        <f>('COST_UPS SAVER'!U48*'COST_UPS SAVER (Allin)'!$D$3+'COST_UPS SAVER'!U48)*118%</f>
        <v>15371.210557500001</v>
      </c>
      <c r="V48" s="67">
        <f>('COST_UPS SAVER'!V48*'COST_UPS SAVER (Allin)'!$D$3+'COST_UPS SAVER'!V48)*118%</f>
        <v>30103.893172499997</v>
      </c>
      <c r="W48" s="67">
        <f>('COST_UPS SAVER'!W48*'COST_UPS SAVER (Allin)'!$D$3+'COST_UPS SAVER'!W48)*118%</f>
        <v>37527.9440025</v>
      </c>
      <c r="X48" s="67">
        <f>('COST_UPS SAVER'!X48*'COST_UPS SAVER (Allin)'!$D$3+'COST_UPS SAVER'!X48)*118%</f>
        <v>30517.167817500002</v>
      </c>
      <c r="Y48" s="67">
        <f>('COST_UPS SAVER'!Y48*'COST_UPS SAVER (Allin)'!$D$3+'COST_UPS SAVER'!Y48)*118%</f>
        <v>33540.402157500001</v>
      </c>
      <c r="Z48" s="67">
        <f>('COST_UPS SAVER'!Z48*'COST_UPS SAVER (Allin)'!$D$3+'COST_UPS SAVER'!Z48)*118%</f>
        <v>31720.69060125</v>
      </c>
      <c r="AA48" s="67">
        <f>('COST_UPS SAVER'!AA48*'COST_UPS SAVER (Allin)'!$D$3+'COST_UPS SAVER'!AA48)*118%</f>
        <v>19053.450412499998</v>
      </c>
      <c r="AB48" s="67">
        <f>('COST_UPS SAVER'!AB48*'COST_UPS SAVER (Allin)'!$D$3+'COST_UPS SAVER'!AB48)*118%</f>
        <v>20977.411428750002</v>
      </c>
      <c r="AC48" s="67">
        <f>('COST_UPS SAVER'!AC48*'COST_UPS SAVER (Allin)'!$D$3+'COST_UPS SAVER'!AC48)*118%</f>
        <v>19489.064227499999</v>
      </c>
      <c r="AD48" s="67">
        <f>('COST_UPS SAVER'!AD48*'COST_UPS SAVER (Allin)'!$D$3+'COST_UPS SAVER'!AD48)*118%</f>
        <v>32910.251403749993</v>
      </c>
      <c r="AE48" s="67">
        <f>('COST_UPS SAVER'!AE48*'COST_UPS SAVER (Allin)'!$D$3+'COST_UPS SAVER'!AE48)*118%</f>
        <v>36269.504092499999</v>
      </c>
      <c r="AF48" s="67">
        <f>('COST_UPS SAVER'!AF48*'COST_UPS SAVER (Allin)'!$D$3+'COST_UPS SAVER'!AF48)*118%</f>
        <v>37256.150767499996</v>
      </c>
      <c r="AG48" s="68">
        <f>('COST_UPS SAVER'!AG48*'COST_UPS SAVER (Allin)'!$D$3+'COST_UPS SAVER'!AG48)*118%</f>
        <v>32832.995107499999</v>
      </c>
      <c r="AR48" s="1"/>
      <c r="AS48" s="1"/>
      <c r="AT48" s="1"/>
    </row>
    <row r="49" spans="1:46" ht="15.75" thickBot="1" x14ac:dyDescent="0.3">
      <c r="A49" s="46">
        <v>20</v>
      </c>
      <c r="B49" s="69">
        <f>('COST_UPS SAVER'!B49*'COST_UPS SAVER (Allin)'!$D$3+'COST_UPS SAVER'!B49)*118%</f>
        <v>17599.542764999995</v>
      </c>
      <c r="C49" s="70">
        <f>('COST_UPS SAVER'!C49*'COST_UPS SAVER (Allin)'!$D$3+'COST_UPS SAVER'!C49)*118%</f>
        <v>18943.616160000005</v>
      </c>
      <c r="D49" s="70">
        <f>('COST_UPS SAVER'!D49*'COST_UPS SAVER (Allin)'!$D$3+'COST_UPS SAVER'!D49)*118%</f>
        <v>19691.978354999999</v>
      </c>
      <c r="E49" s="70">
        <f>('COST_UPS SAVER'!E49*'COST_UPS SAVER (Allin)'!$D$3+'COST_UPS SAVER'!E49)*118%</f>
        <v>19809.258997500001</v>
      </c>
      <c r="F49" s="70">
        <f>('COST_UPS SAVER'!F49*'COST_UPS SAVER (Allin)'!$D$3+'COST_UPS SAVER'!F49)*118%</f>
        <v>19969.356382499998</v>
      </c>
      <c r="G49" s="70">
        <f>('COST_UPS SAVER'!G49*'COST_UPS SAVER (Allin)'!$D$3+'COST_UPS SAVER'!G49)*118%</f>
        <v>20129.453767500003</v>
      </c>
      <c r="H49" s="70">
        <f>('COST_UPS SAVER'!H49*'COST_UPS SAVER (Allin)'!$D$3+'COST_UPS SAVER'!H49)*118%</f>
        <v>14105.3242575</v>
      </c>
      <c r="I49" s="70">
        <f>('COST_UPS SAVER'!I49*'COST_UPS SAVER (Allin)'!$D$3+'COST_UPS SAVER'!I49)*118%</f>
        <v>14868.579232499998</v>
      </c>
      <c r="J49" s="70">
        <f>('COST_UPS SAVER'!J49*'COST_UPS SAVER (Allin)'!$D$3+'COST_UPS SAVER'!J49)*118%</f>
        <v>14944.904729999998</v>
      </c>
      <c r="K49" s="70">
        <f>('COST_UPS SAVER'!K49*'COST_UPS SAVER (Allin)'!$D$3+'COST_UPS SAVER'!K49)*118%</f>
        <v>15412.1657025</v>
      </c>
      <c r="L49" s="70">
        <f>('COST_UPS SAVER'!L49*'COST_UPS SAVER (Allin)'!$D$3+'COST_UPS SAVER'!L49)*118%</f>
        <v>16462.106692499998</v>
      </c>
      <c r="M49" s="70">
        <f>('COST_UPS SAVER'!M49*'COST_UPS SAVER (Allin)'!$D$3+'COST_UPS SAVER'!M49)*118%</f>
        <v>17091.326647500002</v>
      </c>
      <c r="N49" s="70">
        <f>('COST_UPS SAVER'!N49*'COST_UPS SAVER (Allin)'!$D$3+'COST_UPS SAVER'!N49)*118%</f>
        <v>21696.918862499999</v>
      </c>
      <c r="O49" s="70">
        <f>('COST_UPS SAVER'!O49*'COST_UPS SAVER (Allin)'!$D$3+'COST_UPS SAVER'!O49)*118%</f>
        <v>18493.109564999995</v>
      </c>
      <c r="P49" s="70">
        <f>('COST_UPS SAVER'!P49*'COST_UPS SAVER (Allin)'!$D$3+'COST_UPS SAVER'!P49)*118%</f>
        <v>22763.614229999996</v>
      </c>
      <c r="Q49" s="70">
        <f>('COST_UPS SAVER'!Q49*'COST_UPS SAVER (Allin)'!$D$3+'COST_UPS SAVER'!Q49)*118%</f>
        <v>26557.549935000003</v>
      </c>
      <c r="R49" s="70">
        <f>('COST_UPS SAVER'!R49*'COST_UPS SAVER (Allin)'!$D$3+'COST_UPS SAVER'!R49)*118%</f>
        <v>32360.149342499997</v>
      </c>
      <c r="S49" s="70">
        <f>('COST_UPS SAVER'!S49*'COST_UPS SAVER (Allin)'!$D$3+'COST_UPS SAVER'!S49)*118%</f>
        <v>23236.459994999997</v>
      </c>
      <c r="T49" s="70">
        <f>('COST_UPS SAVER'!T49*'COST_UPS SAVER (Allin)'!$D$3+'COST_UPS SAVER'!T49)*118%</f>
        <v>39249.921689999996</v>
      </c>
      <c r="U49" s="70">
        <f>('COST_UPS SAVER'!U49*'COST_UPS SAVER (Allin)'!$D$3+'COST_UPS SAVER'!U49)*118%</f>
        <v>15633.695804999999</v>
      </c>
      <c r="V49" s="70">
        <f>('COST_UPS SAVER'!V49*'COST_UPS SAVER (Allin)'!$D$3+'COST_UPS SAVER'!V49)*118%</f>
        <v>30640.033252499998</v>
      </c>
      <c r="W49" s="70">
        <f>('COST_UPS SAVER'!W49*'COST_UPS SAVER (Allin)'!$D$3+'COST_UPS SAVER'!W49)*118%</f>
        <v>38261.413417499993</v>
      </c>
      <c r="X49" s="70">
        <f>('COST_UPS SAVER'!X49*'COST_UPS SAVER (Allin)'!$D$3+'COST_UPS SAVER'!X49)*118%</f>
        <v>31060.7542875</v>
      </c>
      <c r="Y49" s="70">
        <f>('COST_UPS SAVER'!Y49*'COST_UPS SAVER (Allin)'!$D$3+'COST_UPS SAVER'!Y49)*118%</f>
        <v>34175.206904999999</v>
      </c>
      <c r="Z49" s="70">
        <f>('COST_UPS SAVER'!Z49*'COST_UPS SAVER (Allin)'!$D$3+'COST_UPS SAVER'!Z49)*118%</f>
        <v>32231.699114999999</v>
      </c>
      <c r="AA49" s="70">
        <f>('COST_UPS SAVER'!AA49*'COST_UPS SAVER (Allin)'!$D$3+'COST_UPS SAVER'!AA49)*118%</f>
        <v>19386.676365000007</v>
      </c>
      <c r="AB49" s="70">
        <f>('COST_UPS SAVER'!AB49*'COST_UPS SAVER (Allin)'!$D$3+'COST_UPS SAVER'!AB49)*118%</f>
        <v>21359.969714999999</v>
      </c>
      <c r="AC49" s="70">
        <f>('COST_UPS SAVER'!AC49*'COST_UPS SAVER (Allin)'!$D$3+'COST_UPS SAVER'!AC49)*118%</f>
        <v>19833.459765000003</v>
      </c>
      <c r="AD49" s="70">
        <f>('COST_UPS SAVER'!AD49*'COST_UPS SAVER (Allin)'!$D$3+'COST_UPS SAVER'!AD49)*118%</f>
        <v>33477.107842500001</v>
      </c>
      <c r="AE49" s="70">
        <f>('COST_UPS SAVER'!AE49*'COST_UPS SAVER (Allin)'!$D$3+'COST_UPS SAVER'!AE49)*118%</f>
        <v>36978.77274</v>
      </c>
      <c r="AF49" s="70">
        <f>('COST_UPS SAVER'!AF49*'COST_UPS SAVER (Allin)'!$D$3+'COST_UPS SAVER'!AF49)*118%</f>
        <v>37963.55781749999</v>
      </c>
      <c r="AG49" s="71">
        <f>('COST_UPS SAVER'!AG49*'COST_UPS SAVER (Allin)'!$D$3+'COST_UPS SAVER'!AG49)*118%</f>
        <v>33430.567904999996</v>
      </c>
      <c r="AR49" s="1"/>
      <c r="AS49" s="1"/>
      <c r="AT49" s="1"/>
    </row>
    <row r="50" spans="1:46" x14ac:dyDescent="0.25">
      <c r="A50" s="47" t="s">
        <v>97</v>
      </c>
      <c r="B50" s="63">
        <f>('COST_UPS SAVER'!B50*'COST_UPS SAVER (Allin)'!$D$3+'COST_UPS SAVER'!B50)*118%</f>
        <v>820.96449749999999</v>
      </c>
      <c r="C50" s="64">
        <f>('COST_UPS SAVER'!C50*'COST_UPS SAVER (Allin)'!$D$3+'COST_UPS SAVER'!C50)*118%</f>
        <v>887.9820074999999</v>
      </c>
      <c r="D50" s="64">
        <f>('COST_UPS SAVER'!D50*'COST_UPS SAVER (Allin)'!$D$3+'COST_UPS SAVER'!D50)*118%</f>
        <v>923.35235999999998</v>
      </c>
      <c r="E50" s="64">
        <f>('COST_UPS SAVER'!E50*'COST_UPS SAVER (Allin)'!$D$3+'COST_UPS SAVER'!E50)*118%</f>
        <v>884.25881249999986</v>
      </c>
      <c r="F50" s="64">
        <f>('COST_UPS SAVER'!F50*'COST_UPS SAVER (Allin)'!$D$3+'COST_UPS SAVER'!F50)*118%</f>
        <v>921.49076249999996</v>
      </c>
      <c r="G50" s="64">
        <f>('COST_UPS SAVER'!G50*'COST_UPS SAVER (Allin)'!$D$3+'COST_UPS SAVER'!G50)*118%</f>
        <v>921.49076249999996</v>
      </c>
      <c r="H50" s="64">
        <f>('COST_UPS SAVER'!H50*'COST_UPS SAVER (Allin)'!$D$3+'COST_UPS SAVER'!H50)*118%</f>
        <v>657.14391749999993</v>
      </c>
      <c r="I50" s="64">
        <f>('COST_UPS SAVER'!I50*'COST_UPS SAVER (Allin)'!$D$3+'COST_UPS SAVER'!I50)*118%</f>
        <v>692.51427000000001</v>
      </c>
      <c r="J50" s="64">
        <f>('COST_UPS SAVER'!J50*'COST_UPS SAVER (Allin)'!$D$3+'COST_UPS SAVER'!J50)*118%</f>
        <v>694.37586749999991</v>
      </c>
      <c r="K50" s="64">
        <f>('COST_UPS SAVER'!K50*'COST_UPS SAVER (Allin)'!$D$3+'COST_UPS SAVER'!K50)*118%</f>
        <v>705.5454524999999</v>
      </c>
      <c r="L50" s="64">
        <f>('COST_UPS SAVER'!L50*'COST_UPS SAVER (Allin)'!$D$3+'COST_UPS SAVER'!L50)*118%</f>
        <v>740.91580499999986</v>
      </c>
      <c r="M50" s="64">
        <f>('COST_UPS SAVER'!M50*'COST_UPS SAVER (Allin)'!$D$3+'COST_UPS SAVER'!M50)*118%</f>
        <v>753.94698749999998</v>
      </c>
      <c r="N50" s="64">
        <f>('COST_UPS SAVER'!N50*'COST_UPS SAVER (Allin)'!$D$3+'COST_UPS SAVER'!N50)*118%</f>
        <v>1414.8140999999998</v>
      </c>
      <c r="O50" s="64">
        <f>('COST_UPS SAVER'!O50*'COST_UPS SAVER (Allin)'!$D$3+'COST_UPS SAVER'!O50)*118%</f>
        <v>973.61549249999985</v>
      </c>
      <c r="P50" s="64">
        <f>('COST_UPS SAVER'!P50*'COST_UPS SAVER (Allin)'!$D$3+'COST_UPS SAVER'!P50)*118%</f>
        <v>1094.6193299999998</v>
      </c>
      <c r="Q50" s="64">
        <f>('COST_UPS SAVER'!Q50*'COST_UPS SAVER (Allin)'!$D$3+'COST_UPS SAVER'!Q50)*118%</f>
        <v>1262.1631049999996</v>
      </c>
      <c r="R50" s="64">
        <f>('COST_UPS SAVER'!R50*'COST_UPS SAVER (Allin)'!$D$3+'COST_UPS SAVER'!R50)*118%</f>
        <v>1496.7243899999999</v>
      </c>
      <c r="S50" s="64">
        <f>('COST_UPS SAVER'!S50*'COST_UPS SAVER (Allin)'!$D$3+'COST_UPS SAVER'!S50)*118%</f>
        <v>1025.7402225000001</v>
      </c>
      <c r="T50" s="64">
        <f>('COST_UPS SAVER'!T50*'COST_UPS SAVER (Allin)'!$D$3+'COST_UPS SAVER'!T50)*118%</f>
        <v>1865.3206950000001</v>
      </c>
      <c r="U50" s="64">
        <f>('COST_UPS SAVER'!U50*'COST_UPS SAVER (Allin)'!$D$3+'COST_UPS SAVER'!U50)*118%</f>
        <v>841.44206999999983</v>
      </c>
      <c r="V50" s="64">
        <f>('COST_UPS SAVER'!V50*'COST_UPS SAVER (Allin)'!$D$3+'COST_UPS SAVER'!V50)*118%</f>
        <v>1461.3540375</v>
      </c>
      <c r="W50" s="64">
        <f>('COST_UPS SAVER'!W50*'COST_UPS SAVER (Allin)'!$D$3+'COST_UPS SAVER'!W50)*118%</f>
        <v>1854.1511099999998</v>
      </c>
      <c r="X50" s="64">
        <f>('COST_UPS SAVER'!X50*'COST_UPS SAVER (Allin)'!$D$3+'COST_UPS SAVER'!X50)*118%</f>
        <v>1733.1472724999999</v>
      </c>
      <c r="Y50" s="64">
        <f>('COST_UPS SAVER'!Y50*'COST_UPS SAVER (Allin)'!$D$3+'COST_UPS SAVER'!Y50)*118%</f>
        <v>1952.8157775</v>
      </c>
      <c r="Z50" s="64">
        <f>('COST_UPS SAVER'!Z50*'COST_UPS SAVER (Allin)'!$D$3+'COST_UPS SAVER'!Z50)*118%</f>
        <v>1552.5723150000001</v>
      </c>
      <c r="AA50" s="64">
        <f>('COST_UPS SAVER'!AA50*'COST_UPS SAVER (Allin)'!$D$3+'COST_UPS SAVER'!AA50)*118%</f>
        <v>910.32117749999998</v>
      </c>
      <c r="AB50" s="64">
        <f>('COST_UPS SAVER'!AB50*'COST_UPS SAVER (Allin)'!$D$3+'COST_UPS SAVER'!AB50)*118%</f>
        <v>1008.985845</v>
      </c>
      <c r="AC50" s="64">
        <f>('COST_UPS SAVER'!AC50*'COST_UPS SAVER (Allin)'!$D$3+'COST_UPS SAVER'!AC50)*118%</f>
        <v>932.66034750000006</v>
      </c>
      <c r="AD50" s="64">
        <f>('COST_UPS SAVER'!AD50*'COST_UPS SAVER (Allin)'!$D$3+'COST_UPS SAVER'!AD50)*118%</f>
        <v>1552.5723150000001</v>
      </c>
      <c r="AE50" s="64">
        <f>('COST_UPS SAVER'!AE50*'COST_UPS SAVER (Allin)'!$D$3+'COST_UPS SAVER'!AE50)*118%</f>
        <v>1751.7632475</v>
      </c>
      <c r="AF50" s="64">
        <f>('COST_UPS SAVER'!AF50*'COST_UPS SAVER (Allin)'!$D$3+'COST_UPS SAVER'!AF50)*118%</f>
        <v>1839.2583300000001</v>
      </c>
      <c r="AG50" s="65">
        <f>('COST_UPS SAVER'!AG50*'COST_UPS SAVER (Allin)'!$D$3+'COST_UPS SAVER'!AG50)*118%</f>
        <v>1915.5838274999999</v>
      </c>
      <c r="AR50" s="1"/>
      <c r="AS50" s="1"/>
      <c r="AT50" s="1"/>
    </row>
    <row r="51" spans="1:46" x14ac:dyDescent="0.25">
      <c r="A51" s="28" t="s">
        <v>98</v>
      </c>
      <c r="B51" s="66">
        <f>('COST_UPS SAVER'!B51*'COST_UPS SAVER (Allin)'!$D$3+'COST_UPS SAVER'!B51)*118%</f>
        <v>820.96449749999999</v>
      </c>
      <c r="C51" s="67">
        <f>('COST_UPS SAVER'!C51*'COST_UPS SAVER (Allin)'!$D$3+'COST_UPS SAVER'!C51)*118%</f>
        <v>887.9820074999999</v>
      </c>
      <c r="D51" s="67">
        <f>('COST_UPS SAVER'!D51*'COST_UPS SAVER (Allin)'!$D$3+'COST_UPS SAVER'!D51)*118%</f>
        <v>923.35235999999998</v>
      </c>
      <c r="E51" s="67">
        <f>('COST_UPS SAVER'!E51*'COST_UPS SAVER (Allin)'!$D$3+'COST_UPS SAVER'!E51)*118%</f>
        <v>880.53561749999983</v>
      </c>
      <c r="F51" s="67">
        <f>('COST_UPS SAVER'!F51*'COST_UPS SAVER (Allin)'!$D$3+'COST_UPS SAVER'!F51)*118%</f>
        <v>921.49076249999996</v>
      </c>
      <c r="G51" s="67">
        <f>('COST_UPS SAVER'!G51*'COST_UPS SAVER (Allin)'!$D$3+'COST_UPS SAVER'!G51)*118%</f>
        <v>921.49076249999996</v>
      </c>
      <c r="H51" s="67">
        <f>('COST_UPS SAVER'!H51*'COST_UPS SAVER (Allin)'!$D$3+'COST_UPS SAVER'!H51)*118%</f>
        <v>657.14391749999993</v>
      </c>
      <c r="I51" s="67">
        <f>('COST_UPS SAVER'!I51*'COST_UPS SAVER (Allin)'!$D$3+'COST_UPS SAVER'!I51)*118%</f>
        <v>692.51427000000001</v>
      </c>
      <c r="J51" s="67">
        <f>('COST_UPS SAVER'!J51*'COST_UPS SAVER (Allin)'!$D$3+'COST_UPS SAVER'!J51)*118%</f>
        <v>694.37586749999991</v>
      </c>
      <c r="K51" s="67">
        <f>('COST_UPS SAVER'!K51*'COST_UPS SAVER (Allin)'!$D$3+'COST_UPS SAVER'!K51)*118%</f>
        <v>705.5454524999999</v>
      </c>
      <c r="L51" s="67">
        <f>('COST_UPS SAVER'!L51*'COST_UPS SAVER (Allin)'!$D$3+'COST_UPS SAVER'!L51)*118%</f>
        <v>735.33101249999993</v>
      </c>
      <c r="M51" s="67">
        <f>('COST_UPS SAVER'!M51*'COST_UPS SAVER (Allin)'!$D$3+'COST_UPS SAVER'!M51)*118%</f>
        <v>753.94698749999998</v>
      </c>
      <c r="N51" s="67">
        <f>('COST_UPS SAVER'!N51*'COST_UPS SAVER (Allin)'!$D$3+'COST_UPS SAVER'!N51)*118%</f>
        <v>1414.8140999999998</v>
      </c>
      <c r="O51" s="67">
        <f>('COST_UPS SAVER'!O51*'COST_UPS SAVER (Allin)'!$D$3+'COST_UPS SAVER'!O51)*118%</f>
        <v>982.92347999999981</v>
      </c>
      <c r="P51" s="67">
        <f>('COST_UPS SAVER'!P51*'COST_UPS SAVER (Allin)'!$D$3+'COST_UPS SAVER'!P51)*118%</f>
        <v>1094.6193299999998</v>
      </c>
      <c r="Q51" s="67">
        <f>('COST_UPS SAVER'!Q51*'COST_UPS SAVER (Allin)'!$D$3+'COST_UPS SAVER'!Q51)*118%</f>
        <v>1262.1631049999996</v>
      </c>
      <c r="R51" s="67">
        <f>('COST_UPS SAVER'!R51*'COST_UPS SAVER (Allin)'!$D$3+'COST_UPS SAVER'!R51)*118%</f>
        <v>1496.7243899999999</v>
      </c>
      <c r="S51" s="67">
        <f>('COST_UPS SAVER'!S51*'COST_UPS SAVER (Allin)'!$D$3+'COST_UPS SAVER'!S51)*118%</f>
        <v>1025.7402225000001</v>
      </c>
      <c r="T51" s="67">
        <f>('COST_UPS SAVER'!T51*'COST_UPS SAVER (Allin)'!$D$3+'COST_UPS SAVER'!T51)*118%</f>
        <v>1865.3206950000001</v>
      </c>
      <c r="U51" s="67">
        <f>('COST_UPS SAVER'!U51*'COST_UPS SAVER (Allin)'!$D$3+'COST_UPS SAVER'!U51)*118%</f>
        <v>841.44206999999983</v>
      </c>
      <c r="V51" s="67">
        <f>('COST_UPS SAVER'!V51*'COST_UPS SAVER (Allin)'!$D$3+'COST_UPS SAVER'!V51)*118%</f>
        <v>1461.3540375</v>
      </c>
      <c r="W51" s="67">
        <f>('COST_UPS SAVER'!W51*'COST_UPS SAVER (Allin)'!$D$3+'COST_UPS SAVER'!W51)*118%</f>
        <v>1854.1511099999998</v>
      </c>
      <c r="X51" s="67">
        <f>('COST_UPS SAVER'!X51*'COST_UPS SAVER (Allin)'!$D$3+'COST_UPS SAVER'!X51)*118%</f>
        <v>1733.1472724999999</v>
      </c>
      <c r="Y51" s="67">
        <f>('COST_UPS SAVER'!Y51*'COST_UPS SAVER (Allin)'!$D$3+'COST_UPS SAVER'!Y51)*118%</f>
        <v>1952.8157775</v>
      </c>
      <c r="Z51" s="67">
        <f>('COST_UPS SAVER'!Z51*'COST_UPS SAVER (Allin)'!$D$3+'COST_UPS SAVER'!Z51)*118%</f>
        <v>1552.5723150000001</v>
      </c>
      <c r="AA51" s="67">
        <f>('COST_UPS SAVER'!AA51*'COST_UPS SAVER (Allin)'!$D$3+'COST_UPS SAVER'!AA51)*118%</f>
        <v>910.32117749999998</v>
      </c>
      <c r="AB51" s="67">
        <f>('COST_UPS SAVER'!AB51*'COST_UPS SAVER (Allin)'!$D$3+'COST_UPS SAVER'!AB51)*118%</f>
        <v>1008.985845</v>
      </c>
      <c r="AC51" s="67">
        <f>('COST_UPS SAVER'!AC51*'COST_UPS SAVER (Allin)'!$D$3+'COST_UPS SAVER'!AC51)*118%</f>
        <v>932.66034750000006</v>
      </c>
      <c r="AD51" s="67">
        <f>('COST_UPS SAVER'!AD51*'COST_UPS SAVER (Allin)'!$D$3+'COST_UPS SAVER'!AD51)*118%</f>
        <v>1552.5723150000001</v>
      </c>
      <c r="AE51" s="67">
        <f>('COST_UPS SAVER'!AE51*'COST_UPS SAVER (Allin)'!$D$3+'COST_UPS SAVER'!AE51)*118%</f>
        <v>1751.7632475</v>
      </c>
      <c r="AF51" s="67">
        <f>('COST_UPS SAVER'!AF51*'COST_UPS SAVER (Allin)'!$D$3+'COST_UPS SAVER'!AF51)*118%</f>
        <v>1839.2583300000001</v>
      </c>
      <c r="AG51" s="68">
        <f>('COST_UPS SAVER'!AG51*'COST_UPS SAVER (Allin)'!$D$3+'COST_UPS SAVER'!AG51)*118%</f>
        <v>1915.5838274999999</v>
      </c>
      <c r="AR51" s="1"/>
      <c r="AS51" s="1"/>
      <c r="AT51" s="1"/>
    </row>
    <row r="52" spans="1:46" x14ac:dyDescent="0.25">
      <c r="A52" s="28" t="s">
        <v>100</v>
      </c>
      <c r="B52" s="66">
        <f>('COST_UPS SAVER'!B52*'COST_UPS SAVER (Allin)'!$D$3+'COST_UPS SAVER'!B52)*118%</f>
        <v>766.97816999999998</v>
      </c>
      <c r="C52" s="67">
        <f>('COST_UPS SAVER'!C52*'COST_UPS SAVER (Allin)'!$D$3+'COST_UPS SAVER'!C52)*118%</f>
        <v>832.13408249999998</v>
      </c>
      <c r="D52" s="67">
        <f>('COST_UPS SAVER'!D52*'COST_UPS SAVER (Allin)'!$D$3+'COST_UPS SAVER'!D52)*118%</f>
        <v>867.50443500000006</v>
      </c>
      <c r="E52" s="67">
        <f>('COST_UPS SAVER'!E52*'COST_UPS SAVER (Allin)'!$D$3+'COST_UPS SAVER'!E52)*118%</f>
        <v>874.9508249999999</v>
      </c>
      <c r="F52" s="67">
        <f>('COST_UPS SAVER'!F52*'COST_UPS SAVER (Allin)'!$D$3+'COST_UPS SAVER'!F52)*118%</f>
        <v>921.49076249999996</v>
      </c>
      <c r="G52" s="67">
        <f>('COST_UPS SAVER'!G52*'COST_UPS SAVER (Allin)'!$D$3+'COST_UPS SAVER'!G52)*118%</f>
        <v>921.49076249999996</v>
      </c>
      <c r="H52" s="67">
        <f>('COST_UPS SAVER'!H52*'COST_UPS SAVER (Allin)'!$D$3+'COST_UPS SAVER'!H52)*118%</f>
        <v>659.00551499999995</v>
      </c>
      <c r="I52" s="67">
        <f>('COST_UPS SAVER'!I52*'COST_UPS SAVER (Allin)'!$D$3+'COST_UPS SAVER'!I52)*118%</f>
        <v>668.31350249999991</v>
      </c>
      <c r="J52" s="67">
        <f>('COST_UPS SAVER'!J52*'COST_UPS SAVER (Allin)'!$D$3+'COST_UPS SAVER'!J52)*118%</f>
        <v>696.23746499999993</v>
      </c>
      <c r="K52" s="67">
        <f>('COST_UPS SAVER'!K52*'COST_UPS SAVER (Allin)'!$D$3+'COST_UPS SAVER'!K52)*118%</f>
        <v>707.40704999999991</v>
      </c>
      <c r="L52" s="67">
        <f>('COST_UPS SAVER'!L52*'COST_UPS SAVER (Allin)'!$D$3+'COST_UPS SAVER'!L52)*118%</f>
        <v>714.85343999999998</v>
      </c>
      <c r="M52" s="67">
        <f>('COST_UPS SAVER'!M52*'COST_UPS SAVER (Allin)'!$D$3+'COST_UPS SAVER'!M52)*118%</f>
        <v>755.80858499999988</v>
      </c>
      <c r="N52" s="67">
        <f>('COST_UPS SAVER'!N52*'COST_UPS SAVER (Allin)'!$D$3+'COST_UPS SAVER'!N52)*118%</f>
        <v>1519.0635600000001</v>
      </c>
      <c r="O52" s="67">
        <f>('COST_UPS SAVER'!O52*'COST_UPS SAVER (Allin)'!$D$3+'COST_UPS SAVER'!O52)*118%</f>
        <v>876.81242249999991</v>
      </c>
      <c r="P52" s="67">
        <f>('COST_UPS SAVER'!P52*'COST_UPS SAVER (Allin)'!$D$3+'COST_UPS SAVER'!P52)*118%</f>
        <v>1085.3113424999999</v>
      </c>
      <c r="Q52" s="67">
        <f>('COST_UPS SAVER'!Q52*'COST_UPS SAVER (Allin)'!$D$3+'COST_UPS SAVER'!Q52)*118%</f>
        <v>1262.1631049999996</v>
      </c>
      <c r="R52" s="67">
        <f>('COST_UPS SAVER'!R52*'COST_UPS SAVER (Allin)'!$D$3+'COST_UPS SAVER'!R52)*118%</f>
        <v>1334.7654074999998</v>
      </c>
      <c r="S52" s="67">
        <f>('COST_UPS SAVER'!S52*'COST_UPS SAVER (Allin)'!$D$3+'COST_UPS SAVER'!S52)*118%</f>
        <v>914.04437250000001</v>
      </c>
      <c r="T52" s="67">
        <f>('COST_UPS SAVER'!T52*'COST_UPS SAVER (Allin)'!$D$3+'COST_UPS SAVER'!T52)*118%</f>
        <v>1975.1549474999997</v>
      </c>
      <c r="U52" s="67">
        <f>('COST_UPS SAVER'!U52*'COST_UPS SAVER (Allin)'!$D$3+'COST_UPS SAVER'!U52)*118%</f>
        <v>785.59414500000003</v>
      </c>
      <c r="V52" s="67">
        <f>('COST_UPS SAVER'!V52*'COST_UPS SAVER (Allin)'!$D$3+'COST_UPS SAVER'!V52)*118%</f>
        <v>1241.6855324999999</v>
      </c>
      <c r="W52" s="67">
        <f>('COST_UPS SAVER'!W52*'COST_UPS SAVER (Allin)'!$D$3+'COST_UPS SAVER'!W52)*118%</f>
        <v>1621.4514224999998</v>
      </c>
      <c r="X52" s="67">
        <f>('COST_UPS SAVER'!X52*'COST_UPS SAVER (Allin)'!$D$3+'COST_UPS SAVER'!X52)*118%</f>
        <v>1513.4787674999998</v>
      </c>
      <c r="Y52" s="67">
        <f>('COST_UPS SAVER'!Y52*'COST_UPS SAVER (Allin)'!$D$3+'COST_UPS SAVER'!Y52)*118%</f>
        <v>1824.36555</v>
      </c>
      <c r="Z52" s="67">
        <f>('COST_UPS SAVER'!Z52*'COST_UPS SAVER (Allin)'!$D$3+'COST_UPS SAVER'!Z52)*118%</f>
        <v>1498.5859874999996</v>
      </c>
      <c r="AA52" s="67">
        <f>('COST_UPS SAVER'!AA52*'COST_UPS SAVER (Allin)'!$D$3+'COST_UPS SAVER'!AA52)*118%</f>
        <v>856.33484999999985</v>
      </c>
      <c r="AB52" s="67">
        <f>('COST_UPS SAVER'!AB52*'COST_UPS SAVER (Allin)'!$D$3+'COST_UPS SAVER'!AB52)*118%</f>
        <v>954.99951749999991</v>
      </c>
      <c r="AC52" s="67">
        <f>('COST_UPS SAVER'!AC52*'COST_UPS SAVER (Allin)'!$D$3+'COST_UPS SAVER'!AC52)*118%</f>
        <v>878.67402000000016</v>
      </c>
      <c r="AD52" s="67">
        <f>('COST_UPS SAVER'!AD52*'COST_UPS SAVER (Allin)'!$D$3+'COST_UPS SAVER'!AD52)*118%</f>
        <v>1390.6133324999998</v>
      </c>
      <c r="AE52" s="67">
        <f>('COST_UPS SAVER'!AE52*'COST_UPS SAVER (Allin)'!$D$3+'COST_UPS SAVER'!AE52)*118%</f>
        <v>1861.5974999999999</v>
      </c>
      <c r="AF52" s="67">
        <f>('COST_UPS SAVER'!AF52*'COST_UPS SAVER (Allin)'!$D$3+'COST_UPS SAVER'!AF52)*118%</f>
        <v>1606.5586424999999</v>
      </c>
      <c r="AG52" s="68">
        <f>('COST_UPS SAVER'!AG52*'COST_UPS SAVER (Allin)'!$D$3+'COST_UPS SAVER'!AG52)*118%</f>
        <v>1787.1335999999999</v>
      </c>
      <c r="AR52" s="1"/>
      <c r="AS52" s="1"/>
      <c r="AT52" s="1"/>
    </row>
    <row r="53" spans="1:46" x14ac:dyDescent="0.25">
      <c r="A53" s="28" t="s">
        <v>102</v>
      </c>
      <c r="B53" s="66">
        <f>('COST_UPS SAVER'!B53*'COST_UPS SAVER (Allin)'!$D$3+'COST_UPS SAVER'!B53)*118%</f>
        <v>766.97816999999998</v>
      </c>
      <c r="C53" s="67">
        <f>('COST_UPS SAVER'!C53*'COST_UPS SAVER (Allin)'!$D$3+'COST_UPS SAVER'!C53)*118%</f>
        <v>832.13408249999998</v>
      </c>
      <c r="D53" s="67">
        <f>('COST_UPS SAVER'!D53*'COST_UPS SAVER (Allin)'!$D$3+'COST_UPS SAVER'!D53)*118%</f>
        <v>867.50443500000006</v>
      </c>
      <c r="E53" s="67">
        <f>('COST_UPS SAVER'!E53*'COST_UPS SAVER (Allin)'!$D$3+'COST_UPS SAVER'!E53)*118%</f>
        <v>852.61165499999993</v>
      </c>
      <c r="F53" s="67">
        <f>('COST_UPS SAVER'!F53*'COST_UPS SAVER (Allin)'!$D$3+'COST_UPS SAVER'!F53)*118%</f>
        <v>902.87478749999991</v>
      </c>
      <c r="G53" s="67">
        <f>('COST_UPS SAVER'!G53*'COST_UPS SAVER (Allin)'!$D$3+'COST_UPS SAVER'!G53)*118%</f>
        <v>902.87478749999991</v>
      </c>
      <c r="H53" s="67">
        <f>('COST_UPS SAVER'!H53*'COST_UPS SAVER (Allin)'!$D$3+'COST_UPS SAVER'!H53)*118%</f>
        <v>597.57279749999998</v>
      </c>
      <c r="I53" s="67">
        <f>('COST_UPS SAVER'!I53*'COST_UPS SAVER (Allin)'!$D$3+'COST_UPS SAVER'!I53)*118%</f>
        <v>597.57279749999998</v>
      </c>
      <c r="J53" s="67">
        <f>('COST_UPS SAVER'!J53*'COST_UPS SAVER (Allin)'!$D$3+'COST_UPS SAVER'!J53)*118%</f>
        <v>601.29599250000001</v>
      </c>
      <c r="K53" s="67">
        <f>('COST_UPS SAVER'!K53*'COST_UPS SAVER (Allin)'!$D$3+'COST_UPS SAVER'!K53)*118%</f>
        <v>612.46557750000011</v>
      </c>
      <c r="L53" s="67">
        <f>('COST_UPS SAVER'!L53*'COST_UPS SAVER (Allin)'!$D$3+'COST_UPS SAVER'!L53)*118%</f>
        <v>645.97433249999983</v>
      </c>
      <c r="M53" s="67">
        <f>('COST_UPS SAVER'!M53*'COST_UPS SAVER (Allin)'!$D$3+'COST_UPS SAVER'!M53)*118%</f>
        <v>683.20628250000004</v>
      </c>
      <c r="N53" s="67">
        <f>('COST_UPS SAVER'!N53*'COST_UPS SAVER (Allin)'!$D$3+'COST_UPS SAVER'!N53)*118%</f>
        <v>1578.6346799999999</v>
      </c>
      <c r="O53" s="67">
        <f>('COST_UPS SAVER'!O53*'COST_UPS SAVER (Allin)'!$D$3+'COST_UPS SAVER'!O53)*118%</f>
        <v>1131.8512799999999</v>
      </c>
      <c r="P53" s="67">
        <f>('COST_UPS SAVER'!P53*'COST_UPS SAVER (Allin)'!$D$3+'COST_UPS SAVER'!P53)*118%</f>
        <v>1085.3113424999999</v>
      </c>
      <c r="Q53" s="67">
        <f>('COST_UPS SAVER'!Q53*'COST_UPS SAVER (Allin)'!$D$3+'COST_UPS SAVER'!Q53)*118%</f>
        <v>1262.1631049999996</v>
      </c>
      <c r="R53" s="67">
        <f>('COST_UPS SAVER'!R53*'COST_UPS SAVER (Allin)'!$D$3+'COST_UPS SAVER'!R53)*118%</f>
        <v>1414.8140999999998</v>
      </c>
      <c r="S53" s="67">
        <f>('COST_UPS SAVER'!S53*'COST_UPS SAVER (Allin)'!$D$3+'COST_UPS SAVER'!S53)*118%</f>
        <v>1182.1144124999996</v>
      </c>
      <c r="T53" s="67">
        <f>('COST_UPS SAVER'!T53*'COST_UPS SAVER (Allin)'!$D$3+'COST_UPS SAVER'!T53)*118%</f>
        <v>2036.5876649999998</v>
      </c>
      <c r="U53" s="67">
        <f>('COST_UPS SAVER'!U53*'COST_UPS SAVER (Allin)'!$D$3+'COST_UPS SAVER'!U53)*118%</f>
        <v>755.80858499999988</v>
      </c>
      <c r="V53" s="67">
        <f>('COST_UPS SAVER'!V53*'COST_UPS SAVER (Allin)'!$D$3+'COST_UPS SAVER'!V53)*118%</f>
        <v>1472.5236224999999</v>
      </c>
      <c r="W53" s="67">
        <f>('COST_UPS SAVER'!W53*'COST_UPS SAVER (Allin)'!$D$3+'COST_UPS SAVER'!W53)*118%</f>
        <v>1945.3693874999999</v>
      </c>
      <c r="X53" s="67">
        <f>('COST_UPS SAVER'!X53*'COST_UPS SAVER (Allin)'!$D$3+'COST_UPS SAVER'!X53)*118%</f>
        <v>1513.4787674999998</v>
      </c>
      <c r="Y53" s="67">
        <f>('COST_UPS SAVER'!Y53*'COST_UPS SAVER (Allin)'!$D$3+'COST_UPS SAVER'!Y53)*118%</f>
        <v>1824.36555</v>
      </c>
      <c r="Z53" s="67">
        <f>('COST_UPS SAVER'!Z53*'COST_UPS SAVER (Allin)'!$D$3+'COST_UPS SAVER'!Z53)*118%</f>
        <v>1498.5859874999996</v>
      </c>
      <c r="AA53" s="67">
        <f>('COST_UPS SAVER'!AA53*'COST_UPS SAVER (Allin)'!$D$3+'COST_UPS SAVER'!AA53)*118%</f>
        <v>856.33484999999985</v>
      </c>
      <c r="AB53" s="67">
        <f>('COST_UPS SAVER'!AB53*'COST_UPS SAVER (Allin)'!$D$3+'COST_UPS SAVER'!AB53)*118%</f>
        <v>954.99951749999991</v>
      </c>
      <c r="AC53" s="67">
        <f>('COST_UPS SAVER'!AC53*'COST_UPS SAVER (Allin)'!$D$3+'COST_UPS SAVER'!AC53)*118%</f>
        <v>878.67402000000016</v>
      </c>
      <c r="AD53" s="67">
        <f>('COST_UPS SAVER'!AD53*'COST_UPS SAVER (Allin)'!$D$3+'COST_UPS SAVER'!AD53)*118%</f>
        <v>1470.6620249999999</v>
      </c>
      <c r="AE53" s="67">
        <f>('COST_UPS SAVER'!AE53*'COST_UPS SAVER (Allin)'!$D$3+'COST_UPS SAVER'!AE53)*118%</f>
        <v>1923.0302174999999</v>
      </c>
      <c r="AF53" s="67">
        <f>('COST_UPS SAVER'!AF53*'COST_UPS SAVER (Allin)'!$D$3+'COST_UPS SAVER'!AF53)*118%</f>
        <v>1930.4766075</v>
      </c>
      <c r="AG53" s="68">
        <f>('COST_UPS SAVER'!AG53*'COST_UPS SAVER (Allin)'!$D$3+'COST_UPS SAVER'!AG53)*118%</f>
        <v>1787.1335999999999</v>
      </c>
      <c r="AR53" s="1"/>
      <c r="AS53" s="1"/>
      <c r="AT53" s="1"/>
    </row>
    <row r="54" spans="1:46" x14ac:dyDescent="0.25">
      <c r="A54" s="28" t="s">
        <v>103</v>
      </c>
      <c r="B54" s="66">
        <f>('COST_UPS SAVER'!B54*'COST_UPS SAVER (Allin)'!$D$3+'COST_UPS SAVER'!B54)*118%</f>
        <v>744.6389999999999</v>
      </c>
      <c r="C54" s="67">
        <f>('COST_UPS SAVER'!C54*'COST_UPS SAVER (Allin)'!$D$3+'COST_UPS SAVER'!C54)*118%</f>
        <v>809.7949124999999</v>
      </c>
      <c r="D54" s="67">
        <f>('COST_UPS SAVER'!D54*'COST_UPS SAVER (Allin)'!$D$3+'COST_UPS SAVER'!D54)*118%</f>
        <v>845.16526499999998</v>
      </c>
      <c r="E54" s="67">
        <f>('COST_UPS SAVER'!E54*'COST_UPS SAVER (Allin)'!$D$3+'COST_UPS SAVER'!E54)*118%</f>
        <v>845.16526499999998</v>
      </c>
      <c r="F54" s="67">
        <f>('COST_UPS SAVER'!F54*'COST_UPS SAVER (Allin)'!$D$3+'COST_UPS SAVER'!F54)*118%</f>
        <v>902.87478749999991</v>
      </c>
      <c r="G54" s="67">
        <f>('COST_UPS SAVER'!G54*'COST_UPS SAVER (Allin)'!$D$3+'COST_UPS SAVER'!G54)*118%</f>
        <v>902.87478749999991</v>
      </c>
      <c r="H54" s="67">
        <f>('COST_UPS SAVER'!H54*'COST_UPS SAVER (Allin)'!$D$3+'COST_UPS SAVER'!H54)*118%</f>
        <v>586.40321249999988</v>
      </c>
      <c r="I54" s="67">
        <f>('COST_UPS SAVER'!I54*'COST_UPS SAVER (Allin)'!$D$3+'COST_UPS SAVER'!I54)*118%</f>
        <v>586.40321249999988</v>
      </c>
      <c r="J54" s="67">
        <f>('COST_UPS SAVER'!J54*'COST_UPS SAVER (Allin)'!$D$3+'COST_UPS SAVER'!J54)*118%</f>
        <v>601.29599250000001</v>
      </c>
      <c r="K54" s="67">
        <f>('COST_UPS SAVER'!K54*'COST_UPS SAVER (Allin)'!$D$3+'COST_UPS SAVER'!K54)*118%</f>
        <v>591.98800500000016</v>
      </c>
      <c r="L54" s="67">
        <f>('COST_UPS SAVER'!L54*'COST_UPS SAVER (Allin)'!$D$3+'COST_UPS SAVER'!L54)*118%</f>
        <v>645.97433249999983</v>
      </c>
      <c r="M54" s="67">
        <f>('COST_UPS SAVER'!M54*'COST_UPS SAVER (Allin)'!$D$3+'COST_UPS SAVER'!M54)*118%</f>
        <v>683.20628250000004</v>
      </c>
      <c r="N54" s="67">
        <f>('COST_UPS SAVER'!N54*'COST_UPS SAVER (Allin)'!$D$3+'COST_UPS SAVER'!N54)*118%</f>
        <v>1535.8179375</v>
      </c>
      <c r="O54" s="67">
        <f>('COST_UPS SAVER'!O54*'COST_UPS SAVER (Allin)'!$D$3+'COST_UPS SAVER'!O54)*118%</f>
        <v>1096.4809275</v>
      </c>
      <c r="P54" s="67">
        <f>('COST_UPS SAVER'!P54*'COST_UPS SAVER (Allin)'!$D$3+'COST_UPS SAVER'!P54)*118%</f>
        <v>1092.7577325</v>
      </c>
      <c r="Q54" s="67">
        <f>('COST_UPS SAVER'!Q54*'COST_UPS SAVER (Allin)'!$D$3+'COST_UPS SAVER'!Q54)*118%</f>
        <v>1262.1631049999996</v>
      </c>
      <c r="R54" s="67">
        <f>('COST_UPS SAVER'!R54*'COST_UPS SAVER (Allin)'!$D$3+'COST_UPS SAVER'!R54)*118%</f>
        <v>1513.4787674999998</v>
      </c>
      <c r="S54" s="67">
        <f>('COST_UPS SAVER'!S54*'COST_UPS SAVER (Allin)'!$D$3+'COST_UPS SAVER'!S54)*118%</f>
        <v>1143.0208649999997</v>
      </c>
      <c r="T54" s="67">
        <f>('COST_UPS SAVER'!T54*'COST_UPS SAVER (Allin)'!$D$3+'COST_UPS SAVER'!T54)*118%</f>
        <v>1991.9093249999999</v>
      </c>
      <c r="U54" s="67">
        <f>('COST_UPS SAVER'!U54*'COST_UPS SAVER (Allin)'!$D$3+'COST_UPS SAVER'!U54)*118%</f>
        <v>731.60781750000012</v>
      </c>
      <c r="V54" s="67">
        <f>('COST_UPS SAVER'!V54*'COST_UPS SAVER (Allin)'!$D$3+'COST_UPS SAVER'!V54)*118%</f>
        <v>1502.3091825000001</v>
      </c>
      <c r="W54" s="67">
        <f>('COST_UPS SAVER'!W54*'COST_UPS SAVER (Allin)'!$D$3+'COST_UPS SAVER'!W54)*118%</f>
        <v>1904.4142424999998</v>
      </c>
      <c r="X54" s="67">
        <f>('COST_UPS SAVER'!X54*'COST_UPS SAVER (Allin)'!$D$3+'COST_UPS SAVER'!X54)*118%</f>
        <v>1379.4437475</v>
      </c>
      <c r="Y54" s="67">
        <f>('COST_UPS SAVER'!Y54*'COST_UPS SAVER (Allin)'!$D$3+'COST_UPS SAVER'!Y54)*118%</f>
        <v>1770.3792225</v>
      </c>
      <c r="Z54" s="67">
        <f>('COST_UPS SAVER'!Z54*'COST_UPS SAVER (Allin)'!$D$3+'COST_UPS SAVER'!Z54)*118%</f>
        <v>1476.2468175000001</v>
      </c>
      <c r="AA54" s="67">
        <f>('COST_UPS SAVER'!AA54*'COST_UPS SAVER (Allin)'!$D$3+'COST_UPS SAVER'!AA54)*118%</f>
        <v>833.99567999999988</v>
      </c>
      <c r="AB54" s="67">
        <f>('COST_UPS SAVER'!AB54*'COST_UPS SAVER (Allin)'!$D$3+'COST_UPS SAVER'!AB54)*118%</f>
        <v>932.66034750000006</v>
      </c>
      <c r="AC54" s="67">
        <f>('COST_UPS SAVER'!AC54*'COST_UPS SAVER (Allin)'!$D$3+'COST_UPS SAVER'!AC54)*118%</f>
        <v>856.33484999999985</v>
      </c>
      <c r="AD54" s="67">
        <f>('COST_UPS SAVER'!AD54*'COST_UPS SAVER (Allin)'!$D$3+'COST_UPS SAVER'!AD54)*118%</f>
        <v>1569.3266925</v>
      </c>
      <c r="AE54" s="67">
        <f>('COST_UPS SAVER'!AE54*'COST_UPS SAVER (Allin)'!$D$3+'COST_UPS SAVER'!AE54)*118%</f>
        <v>1878.3518775</v>
      </c>
      <c r="AF54" s="67">
        <f>('COST_UPS SAVER'!AF54*'COST_UPS SAVER (Allin)'!$D$3+'COST_UPS SAVER'!AF54)*118%</f>
        <v>1889.5214624999996</v>
      </c>
      <c r="AG54" s="68">
        <f>('COST_UPS SAVER'!AG54*'COST_UPS SAVER (Allin)'!$D$3+'COST_UPS SAVER'!AG54)*118%</f>
        <v>1733.1472724999999</v>
      </c>
      <c r="AR54" s="1"/>
      <c r="AS54" s="1"/>
      <c r="AT54" s="1"/>
    </row>
    <row r="55" spans="1:46" x14ac:dyDescent="0.25">
      <c r="A55" s="28" t="s">
        <v>106</v>
      </c>
      <c r="B55" s="66">
        <f>('COST_UPS SAVER'!B55*'COST_UPS SAVER (Allin)'!$D$3+'COST_UPS SAVER'!B55)*118%</f>
        <v>744.6389999999999</v>
      </c>
      <c r="C55" s="67">
        <f>('COST_UPS SAVER'!C55*'COST_UPS SAVER (Allin)'!$D$3+'COST_UPS SAVER'!C55)*118%</f>
        <v>809.7949124999999</v>
      </c>
      <c r="D55" s="67">
        <f>('COST_UPS SAVER'!D55*'COST_UPS SAVER (Allin)'!$D$3+'COST_UPS SAVER'!D55)*118%</f>
        <v>845.16526499999998</v>
      </c>
      <c r="E55" s="67">
        <f>('COST_UPS SAVER'!E55*'COST_UPS SAVER (Allin)'!$D$3+'COST_UPS SAVER'!E55)*118%</f>
        <v>845.16526499999998</v>
      </c>
      <c r="F55" s="67">
        <f>('COST_UPS SAVER'!F55*'COST_UPS SAVER (Allin)'!$D$3+'COST_UPS SAVER'!F55)*118%</f>
        <v>902.87478749999991</v>
      </c>
      <c r="G55" s="67">
        <f>('COST_UPS SAVER'!G55*'COST_UPS SAVER (Allin)'!$D$3+'COST_UPS SAVER'!G55)*118%</f>
        <v>902.87478749999991</v>
      </c>
      <c r="H55" s="67">
        <f>('COST_UPS SAVER'!H55*'COST_UPS SAVER (Allin)'!$D$3+'COST_UPS SAVER'!H55)*118%</f>
        <v>586.40321249999988</v>
      </c>
      <c r="I55" s="67">
        <f>('COST_UPS SAVER'!I55*'COST_UPS SAVER (Allin)'!$D$3+'COST_UPS SAVER'!I55)*118%</f>
        <v>586.40321249999988</v>
      </c>
      <c r="J55" s="67">
        <f>('COST_UPS SAVER'!J55*'COST_UPS SAVER (Allin)'!$D$3+'COST_UPS SAVER'!J55)*118%</f>
        <v>601.29599250000001</v>
      </c>
      <c r="K55" s="67">
        <f>('COST_UPS SAVER'!K55*'COST_UPS SAVER (Allin)'!$D$3+'COST_UPS SAVER'!K55)*118%</f>
        <v>582.68001750000008</v>
      </c>
      <c r="L55" s="67">
        <f>('COST_UPS SAVER'!L55*'COST_UPS SAVER (Allin)'!$D$3+'COST_UPS SAVER'!L55)*118%</f>
        <v>645.97433249999983</v>
      </c>
      <c r="M55" s="67">
        <f>('COST_UPS SAVER'!M55*'COST_UPS SAVER (Allin)'!$D$3+'COST_UPS SAVER'!M55)*118%</f>
        <v>683.20628250000004</v>
      </c>
      <c r="N55" s="67">
        <f>('COST_UPS SAVER'!N55*'COST_UPS SAVER (Allin)'!$D$3+'COST_UPS SAVER'!N55)*118%</f>
        <v>1563.7418999999998</v>
      </c>
      <c r="O55" s="67">
        <f>('COST_UPS SAVER'!O55*'COST_UPS SAVER (Allin)'!$D$3+'COST_UPS SAVER'!O55)*118%</f>
        <v>1100.2041225</v>
      </c>
      <c r="P55" s="67">
        <f>('COST_UPS SAVER'!P55*'COST_UPS SAVER (Allin)'!$D$3+'COST_UPS SAVER'!P55)*118%</f>
        <v>1092.7577325</v>
      </c>
      <c r="Q55" s="67">
        <f>('COST_UPS SAVER'!Q55*'COST_UPS SAVER (Allin)'!$D$3+'COST_UPS SAVER'!Q55)*118%</f>
        <v>1258.4399100000001</v>
      </c>
      <c r="R55" s="67">
        <f>('COST_UPS SAVER'!R55*'COST_UPS SAVER (Allin)'!$D$3+'COST_UPS SAVER'!R55)*118%</f>
        <v>1509.7555725000002</v>
      </c>
      <c r="S55" s="67">
        <f>('COST_UPS SAVER'!S55*'COST_UPS SAVER (Allin)'!$D$3+'COST_UPS SAVER'!S55)*118%</f>
        <v>1148.6056575</v>
      </c>
      <c r="T55" s="67">
        <f>('COST_UPS SAVER'!T55*'COST_UPS SAVER (Allin)'!$D$3+'COST_UPS SAVER'!T55)*118%</f>
        <v>2021.6948849999997</v>
      </c>
      <c r="U55" s="67">
        <f>('COST_UPS SAVER'!U55*'COST_UPS SAVER (Allin)'!$D$3+'COST_UPS SAVER'!U55)*118%</f>
        <v>761.39337750000004</v>
      </c>
      <c r="V55" s="67">
        <f>('COST_UPS SAVER'!V55*'COST_UPS SAVER (Allin)'!$D$3+'COST_UPS SAVER'!V55)*118%</f>
        <v>1602.8354475000003</v>
      </c>
      <c r="W55" s="67">
        <f>('COST_UPS SAVER'!W55*'COST_UPS SAVER (Allin)'!$D$3+'COST_UPS SAVER'!W55)*118%</f>
        <v>1934.1998025</v>
      </c>
      <c r="X55" s="67">
        <f>('COST_UPS SAVER'!X55*'COST_UPS SAVER (Allin)'!$D$3+'COST_UPS SAVER'!X55)*118%</f>
        <v>1379.4437475</v>
      </c>
      <c r="Y55" s="67">
        <f>('COST_UPS SAVER'!Y55*'COST_UPS SAVER (Allin)'!$D$3+'COST_UPS SAVER'!Y55)*118%</f>
        <v>1770.3792225</v>
      </c>
      <c r="Z55" s="67">
        <f>('COST_UPS SAVER'!Z55*'COST_UPS SAVER (Allin)'!$D$3+'COST_UPS SAVER'!Z55)*118%</f>
        <v>1476.2468175000001</v>
      </c>
      <c r="AA55" s="67">
        <f>('COST_UPS SAVER'!AA55*'COST_UPS SAVER (Allin)'!$D$3+'COST_UPS SAVER'!AA55)*118%</f>
        <v>833.99567999999988</v>
      </c>
      <c r="AB55" s="67">
        <f>('COST_UPS SAVER'!AB55*'COST_UPS SAVER (Allin)'!$D$3+'COST_UPS SAVER'!AB55)*118%</f>
        <v>932.66034750000006</v>
      </c>
      <c r="AC55" s="67">
        <f>('COST_UPS SAVER'!AC55*'COST_UPS SAVER (Allin)'!$D$3+'COST_UPS SAVER'!AC55)*118%</f>
        <v>856.33484999999985</v>
      </c>
      <c r="AD55" s="67">
        <f>('COST_UPS SAVER'!AD55*'COST_UPS SAVER (Allin)'!$D$3+'COST_UPS SAVER'!AD55)*118%</f>
        <v>1565.6034975</v>
      </c>
      <c r="AE55" s="67">
        <f>('COST_UPS SAVER'!AE55*'COST_UPS SAVER (Allin)'!$D$3+'COST_UPS SAVER'!AE55)*118%</f>
        <v>1908.1374374999998</v>
      </c>
      <c r="AF55" s="67">
        <f>('COST_UPS SAVER'!AF55*'COST_UPS SAVER (Allin)'!$D$3+'COST_UPS SAVER'!AF55)*118%</f>
        <v>1919.3070224999999</v>
      </c>
      <c r="AG55" s="68">
        <f>('COST_UPS SAVER'!AG55*'COST_UPS SAVER (Allin)'!$D$3+'COST_UPS SAVER'!AG55)*118%</f>
        <v>1733.1472724999999</v>
      </c>
      <c r="AR55" s="1"/>
      <c r="AS55" s="1"/>
      <c r="AT55" s="1"/>
    </row>
    <row r="56" spans="1:46" x14ac:dyDescent="0.25">
      <c r="A56" s="28" t="s">
        <v>109</v>
      </c>
      <c r="B56" s="66">
        <f>('COST_UPS SAVER'!B56*'COST_UPS SAVER (Allin)'!$D$3+'COST_UPS SAVER'!B56)*118%</f>
        <v>744.6389999999999</v>
      </c>
      <c r="C56" s="67">
        <f>('COST_UPS SAVER'!C56*'COST_UPS SAVER (Allin)'!$D$3+'COST_UPS SAVER'!C56)*118%</f>
        <v>809.7949124999999</v>
      </c>
      <c r="D56" s="67">
        <f>('COST_UPS SAVER'!D56*'COST_UPS SAVER (Allin)'!$D$3+'COST_UPS SAVER'!D56)*118%</f>
        <v>845.16526499999998</v>
      </c>
      <c r="E56" s="67">
        <f>('COST_UPS SAVER'!E56*'COST_UPS SAVER (Allin)'!$D$3+'COST_UPS SAVER'!E56)*118%</f>
        <v>845.16526499999998</v>
      </c>
      <c r="F56" s="67">
        <f>('COST_UPS SAVER'!F56*'COST_UPS SAVER (Allin)'!$D$3+'COST_UPS SAVER'!F56)*118%</f>
        <v>902.87478749999991</v>
      </c>
      <c r="G56" s="67">
        <f>('COST_UPS SAVER'!G56*'COST_UPS SAVER (Allin)'!$D$3+'COST_UPS SAVER'!G56)*118%</f>
        <v>902.87478749999991</v>
      </c>
      <c r="H56" s="67">
        <f>('COST_UPS SAVER'!H56*'COST_UPS SAVER (Allin)'!$D$3+'COST_UPS SAVER'!H56)*118%</f>
        <v>586.40321249999988</v>
      </c>
      <c r="I56" s="67">
        <f>('COST_UPS SAVER'!I56*'COST_UPS SAVER (Allin)'!$D$3+'COST_UPS SAVER'!I56)*118%</f>
        <v>586.40321249999988</v>
      </c>
      <c r="J56" s="67">
        <f>('COST_UPS SAVER'!J56*'COST_UPS SAVER (Allin)'!$D$3+'COST_UPS SAVER'!J56)*118%</f>
        <v>601.29599250000001</v>
      </c>
      <c r="K56" s="67">
        <f>('COST_UPS SAVER'!K56*'COST_UPS SAVER (Allin)'!$D$3+'COST_UPS SAVER'!K56)*118%</f>
        <v>575.2336274999999</v>
      </c>
      <c r="L56" s="67">
        <f>('COST_UPS SAVER'!L56*'COST_UPS SAVER (Allin)'!$D$3+'COST_UPS SAVER'!L56)*118%</f>
        <v>645.97433249999983</v>
      </c>
      <c r="M56" s="67">
        <f>('COST_UPS SAVER'!M56*'COST_UPS SAVER (Allin)'!$D$3+'COST_UPS SAVER'!M56)*118%</f>
        <v>683.20628250000004</v>
      </c>
      <c r="N56" s="67">
        <f>('COST_UPS SAVER'!N56*'COST_UPS SAVER (Allin)'!$D$3+'COST_UPS SAVER'!N56)*118%</f>
        <v>1578.6346799999999</v>
      </c>
      <c r="O56" s="67">
        <f>('COST_UPS SAVER'!O56*'COST_UPS SAVER (Allin)'!$D$3+'COST_UPS SAVER'!O56)*118%</f>
        <v>1141.1592674999997</v>
      </c>
      <c r="P56" s="67">
        <f>('COST_UPS SAVER'!P56*'COST_UPS SAVER (Allin)'!$D$3+'COST_UPS SAVER'!P56)*118%</f>
        <v>1092.7577325</v>
      </c>
      <c r="Q56" s="67">
        <f>('COST_UPS SAVER'!Q56*'COST_UPS SAVER (Allin)'!$D$3+'COST_UPS SAVER'!Q56)*118%</f>
        <v>1256.5783125</v>
      </c>
      <c r="R56" s="67">
        <f>('COST_UPS SAVER'!R56*'COST_UPS SAVER (Allin)'!$D$3+'COST_UPS SAVER'!R56)*118%</f>
        <v>1513.4787674999998</v>
      </c>
      <c r="S56" s="67">
        <f>('COST_UPS SAVER'!S56*'COST_UPS SAVER (Allin)'!$D$3+'COST_UPS SAVER'!S56)*118%</f>
        <v>1189.5608024999999</v>
      </c>
      <c r="T56" s="67">
        <f>('COST_UPS SAVER'!T56*'COST_UPS SAVER (Allin)'!$D$3+'COST_UPS SAVER'!T56)*118%</f>
        <v>2036.5876649999998</v>
      </c>
      <c r="U56" s="67">
        <f>('COST_UPS SAVER'!U56*'COST_UPS SAVER (Allin)'!$D$3+'COST_UPS SAVER'!U56)*118%</f>
        <v>763.25497500000006</v>
      </c>
      <c r="V56" s="67">
        <f>('COST_UPS SAVER'!V56*'COST_UPS SAVER (Allin)'!$D$3+'COST_UPS SAVER'!V56)*118%</f>
        <v>1645.6521899999998</v>
      </c>
      <c r="W56" s="67">
        <f>('COST_UPS SAVER'!W56*'COST_UPS SAVER (Allin)'!$D$3+'COST_UPS SAVER'!W56)*118%</f>
        <v>1967.7085575000001</v>
      </c>
      <c r="X56" s="67">
        <f>('COST_UPS SAVER'!X56*'COST_UPS SAVER (Allin)'!$D$3+'COST_UPS SAVER'!X56)*118%</f>
        <v>1379.4437475</v>
      </c>
      <c r="Y56" s="67">
        <f>('COST_UPS SAVER'!Y56*'COST_UPS SAVER (Allin)'!$D$3+'COST_UPS SAVER'!Y56)*118%</f>
        <v>1770.3792225</v>
      </c>
      <c r="Z56" s="67">
        <f>('COST_UPS SAVER'!Z56*'COST_UPS SAVER (Allin)'!$D$3+'COST_UPS SAVER'!Z56)*118%</f>
        <v>1476.2468175000001</v>
      </c>
      <c r="AA56" s="67">
        <f>('COST_UPS SAVER'!AA56*'COST_UPS SAVER (Allin)'!$D$3+'COST_UPS SAVER'!AA56)*118%</f>
        <v>833.99567999999988</v>
      </c>
      <c r="AB56" s="67">
        <f>('COST_UPS SAVER'!AB56*'COST_UPS SAVER (Allin)'!$D$3+'COST_UPS SAVER'!AB56)*118%</f>
        <v>932.66034750000006</v>
      </c>
      <c r="AC56" s="67">
        <f>('COST_UPS SAVER'!AC56*'COST_UPS SAVER (Allin)'!$D$3+'COST_UPS SAVER'!AC56)*118%</f>
        <v>856.33484999999985</v>
      </c>
      <c r="AD56" s="67">
        <f>('COST_UPS SAVER'!AD56*'COST_UPS SAVER (Allin)'!$D$3+'COST_UPS SAVER'!AD56)*118%</f>
        <v>1569.3266925</v>
      </c>
      <c r="AE56" s="67">
        <f>('COST_UPS SAVER'!AE56*'COST_UPS SAVER (Allin)'!$D$3+'COST_UPS SAVER'!AE56)*118%</f>
        <v>1923.0302174999999</v>
      </c>
      <c r="AF56" s="67">
        <f>('COST_UPS SAVER'!AF56*'COST_UPS SAVER (Allin)'!$D$3+'COST_UPS SAVER'!AF56)*118%</f>
        <v>1952.8157775</v>
      </c>
      <c r="AG56" s="68">
        <f>('COST_UPS SAVER'!AG56*'COST_UPS SAVER (Allin)'!$D$3+'COST_UPS SAVER'!AG56)*118%</f>
        <v>1733.1472724999999</v>
      </c>
      <c r="AR56" s="1"/>
      <c r="AS56" s="1"/>
      <c r="AT56" s="1"/>
    </row>
    <row r="57" spans="1:46" ht="15.75" thickBot="1" x14ac:dyDescent="0.3">
      <c r="A57" s="29" t="s">
        <v>112</v>
      </c>
      <c r="B57" s="72">
        <f>('COST_UPS SAVER'!B57*'COST_UPS SAVER (Allin)'!$D$3+'COST_UPS SAVER'!B57)*118%</f>
        <v>744.6389999999999</v>
      </c>
      <c r="C57" s="73">
        <f>('COST_UPS SAVER'!C57*'COST_UPS SAVER (Allin)'!$D$3+'COST_UPS SAVER'!C57)*118%</f>
        <v>809.7949124999999</v>
      </c>
      <c r="D57" s="73">
        <f>('COST_UPS SAVER'!D57*'COST_UPS SAVER (Allin)'!$D$3+'COST_UPS SAVER'!D57)*118%</f>
        <v>845.16526499999998</v>
      </c>
      <c r="E57" s="73">
        <f>('COST_UPS SAVER'!E57*'COST_UPS SAVER (Allin)'!$D$3+'COST_UPS SAVER'!E57)*118%</f>
        <v>845.16526499999998</v>
      </c>
      <c r="F57" s="73">
        <f>('COST_UPS SAVER'!F57*'COST_UPS SAVER (Allin)'!$D$3+'COST_UPS SAVER'!F57)*118%</f>
        <v>902.87478749999991</v>
      </c>
      <c r="G57" s="73">
        <f>('COST_UPS SAVER'!G57*'COST_UPS SAVER (Allin)'!$D$3+'COST_UPS SAVER'!G57)*118%</f>
        <v>902.87478749999991</v>
      </c>
      <c r="H57" s="73">
        <f>('COST_UPS SAVER'!H57*'COST_UPS SAVER (Allin)'!$D$3+'COST_UPS SAVER'!H57)*118%</f>
        <v>586.40321249999988</v>
      </c>
      <c r="I57" s="73">
        <f>('COST_UPS SAVER'!I57*'COST_UPS SAVER (Allin)'!$D$3+'COST_UPS SAVER'!I57)*118%</f>
        <v>586.40321249999988</v>
      </c>
      <c r="J57" s="73">
        <f>('COST_UPS SAVER'!J57*'COST_UPS SAVER (Allin)'!$D$3+'COST_UPS SAVER'!J57)*118%</f>
        <v>601.29599250000001</v>
      </c>
      <c r="K57" s="73">
        <f>('COST_UPS SAVER'!K57*'COST_UPS SAVER (Allin)'!$D$3+'COST_UPS SAVER'!K57)*118%</f>
        <v>567.78723749999983</v>
      </c>
      <c r="L57" s="73">
        <f>('COST_UPS SAVER'!L57*'COST_UPS SAVER (Allin)'!$D$3+'COST_UPS SAVER'!L57)*118%</f>
        <v>645.97433249999983</v>
      </c>
      <c r="M57" s="73">
        <f>('COST_UPS SAVER'!M57*'COST_UPS SAVER (Allin)'!$D$3+'COST_UPS SAVER'!M57)*118%</f>
        <v>683.20628250000004</v>
      </c>
      <c r="N57" s="73">
        <f>('COST_UPS SAVER'!N57*'COST_UPS SAVER (Allin)'!$D$3+'COST_UPS SAVER'!N57)*118%</f>
        <v>1578.6346799999999</v>
      </c>
      <c r="O57" s="73">
        <f>('COST_UPS SAVER'!O57*'COST_UPS SAVER (Allin)'!$D$3+'COST_UPS SAVER'!O57)*118%</f>
        <v>1206.3151799999996</v>
      </c>
      <c r="P57" s="73">
        <f>('COST_UPS SAVER'!P57*'COST_UPS SAVER (Allin)'!$D$3+'COST_UPS SAVER'!P57)*118%</f>
        <v>1092.7577325</v>
      </c>
      <c r="Q57" s="73">
        <f>('COST_UPS SAVER'!Q57*'COST_UPS SAVER (Allin)'!$D$3+'COST_UPS SAVER'!Q57)*118%</f>
        <v>1252.8551174999996</v>
      </c>
      <c r="R57" s="73">
        <f>('COST_UPS SAVER'!R57*'COST_UPS SAVER (Allin)'!$D$3+'COST_UPS SAVER'!R57)*118%</f>
        <v>1532.0947424999999</v>
      </c>
      <c r="S57" s="73">
        <f>('COST_UPS SAVER'!S57*'COST_UPS SAVER (Allin)'!$D$3+'COST_UPS SAVER'!S57)*118%</f>
        <v>1258.4399100000001</v>
      </c>
      <c r="T57" s="73">
        <f>('COST_UPS SAVER'!T57*'COST_UPS SAVER (Allin)'!$D$3+'COST_UPS SAVER'!T57)*118%</f>
        <v>2036.5876649999998</v>
      </c>
      <c r="U57" s="73">
        <f>('COST_UPS SAVER'!U57*'COST_UPS SAVER (Allin)'!$D$3+'COST_UPS SAVER'!U57)*118%</f>
        <v>772.56296250000003</v>
      </c>
      <c r="V57" s="73">
        <f>('COST_UPS SAVER'!V57*'COST_UPS SAVER (Allin)'!$D$3+'COST_UPS SAVER'!V57)*118%</f>
        <v>1697.7769199999998</v>
      </c>
      <c r="W57" s="73">
        <f>('COST_UPS SAVER'!W57*'COST_UPS SAVER (Allin)'!$D$3+'COST_UPS SAVER'!W57)*118%</f>
        <v>1991.9093249999999</v>
      </c>
      <c r="X57" s="73">
        <f>('COST_UPS SAVER'!X57*'COST_UPS SAVER (Allin)'!$D$3+'COST_UPS SAVER'!X57)*118%</f>
        <v>1379.4437475</v>
      </c>
      <c r="Y57" s="73">
        <f>('COST_UPS SAVER'!Y57*'COST_UPS SAVER (Allin)'!$D$3+'COST_UPS SAVER'!Y57)*118%</f>
        <v>1770.3792225</v>
      </c>
      <c r="Z57" s="73">
        <f>('COST_UPS SAVER'!Z57*'COST_UPS SAVER (Allin)'!$D$3+'COST_UPS SAVER'!Z57)*118%</f>
        <v>1476.2468175000001</v>
      </c>
      <c r="AA57" s="73">
        <f>('COST_UPS SAVER'!AA57*'COST_UPS SAVER (Allin)'!$D$3+'COST_UPS SAVER'!AA57)*118%</f>
        <v>833.99567999999988</v>
      </c>
      <c r="AB57" s="73">
        <f>('COST_UPS SAVER'!AB57*'COST_UPS SAVER (Allin)'!$D$3+'COST_UPS SAVER'!AB57)*118%</f>
        <v>932.66034750000006</v>
      </c>
      <c r="AC57" s="73">
        <f>('COST_UPS SAVER'!AC57*'COST_UPS SAVER (Allin)'!$D$3+'COST_UPS SAVER'!AC57)*118%</f>
        <v>856.33484999999985</v>
      </c>
      <c r="AD57" s="73">
        <f>('COST_UPS SAVER'!AD57*'COST_UPS SAVER (Allin)'!$D$3+'COST_UPS SAVER'!AD57)*118%</f>
        <v>1587.9426675000002</v>
      </c>
      <c r="AE57" s="73">
        <f>('COST_UPS SAVER'!AE57*'COST_UPS SAVER (Allin)'!$D$3+'COST_UPS SAVER'!AE57)*118%</f>
        <v>1923.0302174999999</v>
      </c>
      <c r="AF57" s="73">
        <f>('COST_UPS SAVER'!AF57*'COST_UPS SAVER (Allin)'!$D$3+'COST_UPS SAVER'!AF57)*118%</f>
        <v>1977.016545</v>
      </c>
      <c r="AG57" s="74">
        <f>('COST_UPS SAVER'!AG57*'COST_UPS SAVER (Allin)'!$D$3+'COST_UPS SAVER'!AG57)*118%</f>
        <v>1733.1472724999999</v>
      </c>
      <c r="AH57" s="52"/>
      <c r="AR57" s="1"/>
      <c r="AS57" s="1"/>
      <c r="AT57" s="1"/>
    </row>
    <row r="58" spans="1:46" x14ac:dyDescent="0.25">
      <c r="AR58" s="1"/>
      <c r="AS58" s="1"/>
      <c r="AT58" s="1"/>
    </row>
    <row r="60" spans="1:46" x14ac:dyDescent="0.25">
      <c r="A60" s="3" t="s">
        <v>0</v>
      </c>
    </row>
    <row r="61" spans="1:46" x14ac:dyDescent="0.25">
      <c r="A61" s="4" t="s">
        <v>1</v>
      </c>
    </row>
    <row r="62" spans="1:46" x14ac:dyDescent="0.25">
      <c r="A62" s="6" t="s">
        <v>35</v>
      </c>
    </row>
    <row r="63" spans="1:46" x14ac:dyDescent="0.25">
      <c r="A63" s="6" t="s">
        <v>44</v>
      </c>
    </row>
    <row r="64" spans="1:46" x14ac:dyDescent="0.25">
      <c r="A64" s="6" t="s">
        <v>52</v>
      </c>
    </row>
    <row r="65" spans="1:1" x14ac:dyDescent="0.25">
      <c r="A65" s="6" t="s">
        <v>56</v>
      </c>
    </row>
    <row r="66" spans="1:1" x14ac:dyDescent="0.25">
      <c r="A66" s="6" t="s">
        <v>58</v>
      </c>
    </row>
    <row r="67" spans="1:1" x14ac:dyDescent="0.25">
      <c r="A67" s="9" t="s">
        <v>59</v>
      </c>
    </row>
    <row r="68" spans="1:1" x14ac:dyDescent="0.25">
      <c r="A68" s="10" t="s">
        <v>60</v>
      </c>
    </row>
    <row r="69" spans="1:1" x14ac:dyDescent="0.25">
      <c r="A69" s="11" t="s">
        <v>61</v>
      </c>
    </row>
    <row r="70" spans="1:1" x14ac:dyDescent="0.25">
      <c r="A70" s="11" t="s">
        <v>62</v>
      </c>
    </row>
    <row r="71" spans="1:1" x14ac:dyDescent="0.25">
      <c r="A71" s="10" t="s">
        <v>63</v>
      </c>
    </row>
    <row r="72" spans="1:1" x14ac:dyDescent="0.25">
      <c r="A72" s="10" t="s">
        <v>64</v>
      </c>
    </row>
    <row r="73" spans="1:1" x14ac:dyDescent="0.25">
      <c r="A73" s="10" t="s">
        <v>65</v>
      </c>
    </row>
    <row r="74" spans="1:1" x14ac:dyDescent="0.25">
      <c r="A74" s="12" t="s">
        <v>66</v>
      </c>
    </row>
    <row r="75" spans="1:1" x14ac:dyDescent="0.25">
      <c r="A75" s="13" t="s">
        <v>67</v>
      </c>
    </row>
    <row r="76" spans="1:1" x14ac:dyDescent="0.25">
      <c r="A76" s="14" t="s">
        <v>68</v>
      </c>
    </row>
    <row r="77" spans="1:1" x14ac:dyDescent="0.25">
      <c r="A77" s="2" t="s">
        <v>69</v>
      </c>
    </row>
    <row r="78" spans="1:1" x14ac:dyDescent="0.25">
      <c r="A78" s="15" t="s">
        <v>70</v>
      </c>
    </row>
    <row r="79" spans="1:1" x14ac:dyDescent="0.25">
      <c r="A79" s="12" t="s">
        <v>71</v>
      </c>
    </row>
    <row r="80" spans="1:1" x14ac:dyDescent="0.25">
      <c r="A80" s="16" t="s">
        <v>72</v>
      </c>
    </row>
    <row r="81" spans="1:1" x14ac:dyDescent="0.25">
      <c r="A81" s="6" t="s">
        <v>73</v>
      </c>
    </row>
    <row r="82" spans="1:1" x14ac:dyDescent="0.25">
      <c r="A82" s="6" t="s">
        <v>74</v>
      </c>
    </row>
    <row r="83" spans="1:1" x14ac:dyDescent="0.25">
      <c r="A83" s="17" t="s">
        <v>75</v>
      </c>
    </row>
    <row r="84" spans="1:1" x14ac:dyDescent="0.25">
      <c r="A84" s="20" t="s">
        <v>76</v>
      </c>
    </row>
    <row r="85" spans="1:1" x14ac:dyDescent="0.25">
      <c r="A85" s="21" t="s">
        <v>77</v>
      </c>
    </row>
    <row r="86" spans="1:1" x14ac:dyDescent="0.25">
      <c r="A86" t="s">
        <v>78</v>
      </c>
    </row>
  </sheetData>
  <sheetProtection algorithmName="SHA-512" hashValue="vtoNEX+ntamHH7D6LTCQkP2UzD4TOrNPnFvAaPXQ3LTdC93i96VK/FBCF2y4egL861lTaOQnzB/m1RFyidAMmQ==" saltValue="TFNj7z18iPzI7LFWir3PHA==" spinCount="100000" sheet="1" objects="1" scenarios="1"/>
  <protectedRanges>
    <protectedRange sqref="D3" name="Range2"/>
    <protectedRange sqref="D3" name="Range1"/>
  </protectedRanges>
  <mergeCells count="1">
    <mergeCell ref="B6:D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3:AT86"/>
  <sheetViews>
    <sheetView workbookViewId="0">
      <selection activeCell="B1" sqref="B1"/>
    </sheetView>
  </sheetViews>
  <sheetFormatPr defaultRowHeight="15" x14ac:dyDescent="0.25"/>
  <cols>
    <col min="1" max="1" width="13.85546875" bestFit="1" customWidth="1"/>
    <col min="2" max="3" width="10.5703125" customWidth="1"/>
    <col min="4" max="4" width="9.85546875" customWidth="1"/>
    <col min="5" max="5" width="8.85546875" customWidth="1"/>
    <col min="6" max="6" width="7.28515625" customWidth="1"/>
    <col min="7" max="7" width="10.7109375" customWidth="1"/>
    <col min="8" max="8" width="8.7109375" customWidth="1"/>
    <col min="9" max="9" width="11.5703125" customWidth="1"/>
    <col min="10" max="10" width="5" customWidth="1"/>
    <col min="11" max="11" width="10.7109375" customWidth="1"/>
    <col min="12" max="12" width="8.140625" customWidth="1"/>
    <col min="13" max="13" width="8" customWidth="1"/>
    <col min="14" max="14" width="11.28515625" customWidth="1"/>
    <col min="15" max="15" width="10.28515625" customWidth="1"/>
    <col min="16" max="16" width="8.28515625" customWidth="1"/>
    <col min="17" max="17" width="11.85546875" bestFit="1" customWidth="1"/>
    <col min="18" max="20" width="6" customWidth="1"/>
    <col min="21" max="21" width="5.7109375" customWidth="1"/>
    <col min="22" max="22" width="6" customWidth="1"/>
    <col min="23" max="25" width="6.42578125" customWidth="1"/>
    <col min="26" max="26" width="6" customWidth="1"/>
    <col min="27" max="27" width="8.28515625" customWidth="1"/>
    <col min="28" max="28" width="7.5703125" customWidth="1"/>
    <col min="29" max="29" width="10.140625" customWidth="1"/>
    <col min="30" max="30" width="6" customWidth="1"/>
    <col min="31" max="31" width="9.28515625" bestFit="1" customWidth="1"/>
    <col min="32" max="33" width="7.7109375" customWidth="1"/>
  </cols>
  <sheetData>
    <row r="3" spans="1:46" ht="16.5" thickBot="1" x14ac:dyDescent="0.3">
      <c r="A3" s="25" t="s">
        <v>115</v>
      </c>
      <c r="B3" s="56"/>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46" ht="30" x14ac:dyDescent="0.25">
      <c r="A4" s="30" t="s">
        <v>2</v>
      </c>
      <c r="B4" s="31" t="s">
        <v>3</v>
      </c>
      <c r="C4" s="31" t="s">
        <v>4</v>
      </c>
      <c r="D4" s="31" t="s">
        <v>5</v>
      </c>
      <c r="E4" s="32" t="s">
        <v>6</v>
      </c>
      <c r="F4" s="32" t="s">
        <v>7</v>
      </c>
      <c r="G4" s="32" t="s">
        <v>8</v>
      </c>
      <c r="H4" s="32" t="s">
        <v>9</v>
      </c>
      <c r="I4" s="32" t="s">
        <v>10</v>
      </c>
      <c r="J4" s="32" t="s">
        <v>11</v>
      </c>
      <c r="K4" s="32" t="s">
        <v>12</v>
      </c>
      <c r="L4" s="32" t="s">
        <v>13</v>
      </c>
      <c r="M4" s="32" t="s">
        <v>14</v>
      </c>
      <c r="N4" s="32" t="s">
        <v>15</v>
      </c>
      <c r="O4" s="32" t="s">
        <v>16</v>
      </c>
      <c r="P4" s="32" t="s">
        <v>17</v>
      </c>
      <c r="Q4" s="32" t="s">
        <v>18</v>
      </c>
      <c r="R4" s="33" t="s">
        <v>19</v>
      </c>
      <c r="S4" s="33" t="s">
        <v>20</v>
      </c>
      <c r="T4" s="33" t="s">
        <v>21</v>
      </c>
      <c r="U4" s="33" t="s">
        <v>22</v>
      </c>
      <c r="V4" s="33" t="s">
        <v>23</v>
      </c>
      <c r="W4" s="33" t="s">
        <v>24</v>
      </c>
      <c r="X4" s="33" t="s">
        <v>25</v>
      </c>
      <c r="Y4" s="33" t="s">
        <v>26</v>
      </c>
      <c r="Z4" s="33" t="s">
        <v>27</v>
      </c>
      <c r="AA4" s="31" t="s">
        <v>28</v>
      </c>
      <c r="AB4" s="31" t="s">
        <v>29</v>
      </c>
      <c r="AC4" s="34" t="s">
        <v>30</v>
      </c>
      <c r="AD4" s="31" t="s">
        <v>31</v>
      </c>
      <c r="AE4" s="31" t="s">
        <v>32</v>
      </c>
      <c r="AF4" s="31" t="s">
        <v>33</v>
      </c>
      <c r="AG4" s="35" t="s">
        <v>34</v>
      </c>
      <c r="AJ4" s="2"/>
      <c r="AK4" s="1"/>
      <c r="AL4" s="1"/>
      <c r="AM4" s="1"/>
      <c r="AN4" s="1"/>
      <c r="AO4" s="1"/>
      <c r="AP4" s="1"/>
      <c r="AQ4" s="1"/>
      <c r="AR4" s="1"/>
      <c r="AS4" s="1"/>
      <c r="AT4" s="1"/>
    </row>
    <row r="5" spans="1:46" ht="15.75" thickBot="1" x14ac:dyDescent="0.3">
      <c r="A5" s="36"/>
      <c r="B5" s="50"/>
      <c r="C5" s="50"/>
      <c r="D5" s="50"/>
      <c r="E5" s="37"/>
      <c r="F5" s="37"/>
      <c r="G5" s="37" t="s">
        <v>36</v>
      </c>
      <c r="H5" s="37"/>
      <c r="I5" s="37" t="s">
        <v>37</v>
      </c>
      <c r="J5" s="37"/>
      <c r="K5" s="37" t="s">
        <v>38</v>
      </c>
      <c r="L5" s="37" t="s">
        <v>39</v>
      </c>
      <c r="M5" s="37" t="s">
        <v>40</v>
      </c>
      <c r="N5" s="37" t="s">
        <v>41</v>
      </c>
      <c r="O5" s="37" t="s">
        <v>42</v>
      </c>
      <c r="P5" s="37"/>
      <c r="Q5" s="37"/>
      <c r="R5" s="38"/>
      <c r="S5" s="38"/>
      <c r="T5" s="38"/>
      <c r="U5" s="38"/>
      <c r="V5" s="38"/>
      <c r="W5" s="38"/>
      <c r="X5" s="38"/>
      <c r="Y5" s="38"/>
      <c r="Z5" s="38"/>
      <c r="AA5" s="37"/>
      <c r="AB5" s="37"/>
      <c r="AC5" s="37"/>
      <c r="AD5" s="37"/>
      <c r="AE5" s="37" t="s">
        <v>43</v>
      </c>
      <c r="AF5" s="37"/>
      <c r="AG5" s="39"/>
      <c r="AJ5" s="5"/>
      <c r="AK5" s="5"/>
      <c r="AL5" s="5"/>
      <c r="AM5" s="1"/>
      <c r="AN5" s="1"/>
      <c r="AO5" s="1"/>
      <c r="AP5" s="1"/>
      <c r="AQ5" s="1"/>
      <c r="AR5" s="1"/>
      <c r="AS5" s="1"/>
      <c r="AT5" s="1"/>
    </row>
    <row r="6" spans="1:46" ht="16.5" thickBot="1" x14ac:dyDescent="0.3">
      <c r="A6" s="48"/>
      <c r="B6" s="75" t="s">
        <v>45</v>
      </c>
      <c r="C6" s="76"/>
      <c r="D6" s="77"/>
      <c r="E6" s="49"/>
      <c r="F6" s="37"/>
      <c r="G6" s="37"/>
      <c r="H6" s="37"/>
      <c r="I6" s="37" t="s">
        <v>46</v>
      </c>
      <c r="J6" s="37"/>
      <c r="K6" s="37" t="s">
        <v>47</v>
      </c>
      <c r="L6" s="37" t="s">
        <v>48</v>
      </c>
      <c r="M6" s="37" t="s">
        <v>49</v>
      </c>
      <c r="N6" s="37"/>
      <c r="O6" s="37" t="s">
        <v>50</v>
      </c>
      <c r="P6" s="37"/>
      <c r="Q6" s="37"/>
      <c r="R6" s="38"/>
      <c r="S6" s="38"/>
      <c r="T6" s="38"/>
      <c r="U6" s="38"/>
      <c r="V6" s="38"/>
      <c r="W6" s="38"/>
      <c r="X6" s="38"/>
      <c r="Y6" s="38"/>
      <c r="Z6" s="38"/>
      <c r="AA6" s="37"/>
      <c r="AB6" s="37"/>
      <c r="AC6" s="37"/>
      <c r="AD6" s="37"/>
      <c r="AE6" s="37" t="s">
        <v>51</v>
      </c>
      <c r="AF6" s="37"/>
      <c r="AG6" s="39"/>
      <c r="AJ6" s="1"/>
      <c r="AK6" s="1"/>
      <c r="AL6" s="1"/>
      <c r="AM6" s="1"/>
      <c r="AN6" s="1"/>
      <c r="AO6" s="1"/>
      <c r="AP6" s="1"/>
      <c r="AQ6" s="1"/>
      <c r="AR6" s="1"/>
      <c r="AS6" s="1"/>
      <c r="AT6" s="1"/>
    </row>
    <row r="7" spans="1:46" x14ac:dyDescent="0.25">
      <c r="A7" s="40"/>
      <c r="B7" s="51"/>
      <c r="C7" s="51"/>
      <c r="D7" s="51"/>
      <c r="E7" s="37"/>
      <c r="F7" s="37"/>
      <c r="G7" s="37"/>
      <c r="H7" s="37"/>
      <c r="I7" s="37"/>
      <c r="J7" s="37"/>
      <c r="K7" s="37" t="s">
        <v>53</v>
      </c>
      <c r="L7" s="37" t="s">
        <v>54</v>
      </c>
      <c r="M7" s="37"/>
      <c r="N7" s="37"/>
      <c r="O7" s="37" t="s">
        <v>55</v>
      </c>
      <c r="P7" s="37"/>
      <c r="Q7" s="37"/>
      <c r="R7" s="38"/>
      <c r="S7" s="38"/>
      <c r="T7" s="38"/>
      <c r="U7" s="38"/>
      <c r="V7" s="38"/>
      <c r="W7" s="38"/>
      <c r="X7" s="38"/>
      <c r="Y7" s="38"/>
      <c r="Z7" s="38"/>
      <c r="AA7" s="38"/>
      <c r="AB7" s="38"/>
      <c r="AC7" s="38"/>
      <c r="AD7" s="38"/>
      <c r="AE7" s="38"/>
      <c r="AF7" s="38"/>
      <c r="AG7" s="41"/>
      <c r="AJ7" s="1"/>
      <c r="AK7" s="1"/>
      <c r="AL7" s="1"/>
      <c r="AM7" s="1"/>
      <c r="AN7" s="1"/>
      <c r="AO7" s="1"/>
      <c r="AP7" s="1"/>
      <c r="AQ7" s="1"/>
      <c r="AR7" s="1"/>
      <c r="AS7" s="1"/>
      <c r="AT7" s="1"/>
    </row>
    <row r="8" spans="1:46" ht="15.75" thickBot="1" x14ac:dyDescent="0.3">
      <c r="A8" s="42"/>
      <c r="B8" s="43"/>
      <c r="C8" s="43"/>
      <c r="D8" s="43"/>
      <c r="E8" s="44"/>
      <c r="F8" s="44"/>
      <c r="G8" s="44"/>
      <c r="H8" s="44"/>
      <c r="I8" s="44"/>
      <c r="J8" s="44"/>
      <c r="K8" s="44" t="s">
        <v>57</v>
      </c>
      <c r="L8" s="44"/>
      <c r="M8" s="44"/>
      <c r="N8" s="44"/>
      <c r="O8" s="44"/>
      <c r="P8" s="44"/>
      <c r="Q8" s="44"/>
      <c r="R8" s="43"/>
      <c r="S8" s="43"/>
      <c r="T8" s="43"/>
      <c r="U8" s="43"/>
      <c r="V8" s="43"/>
      <c r="W8" s="43"/>
      <c r="X8" s="43"/>
      <c r="Y8" s="43"/>
      <c r="Z8" s="43"/>
      <c r="AA8" s="43"/>
      <c r="AB8" s="43"/>
      <c r="AC8" s="43"/>
      <c r="AD8" s="43"/>
      <c r="AE8" s="43"/>
      <c r="AF8" s="43"/>
      <c r="AG8" s="45"/>
      <c r="AI8" s="22" t="s">
        <v>116</v>
      </c>
      <c r="AJ8" s="1"/>
      <c r="AK8" s="1"/>
      <c r="AL8" s="1"/>
      <c r="AM8" s="5"/>
      <c r="AN8" s="1"/>
      <c r="AO8" s="1"/>
      <c r="AP8" s="1"/>
      <c r="AQ8" s="1"/>
      <c r="AR8" s="1"/>
      <c r="AS8" s="1"/>
      <c r="AT8" s="1"/>
    </row>
    <row r="9" spans="1:46" x14ac:dyDescent="0.25">
      <c r="A9" s="57">
        <v>0.5</v>
      </c>
      <c r="B9" s="63">
        <v>1186.5</v>
      </c>
      <c r="C9" s="64">
        <v>1222.2</v>
      </c>
      <c r="D9" s="64">
        <v>1249.5000000000002</v>
      </c>
      <c r="E9" s="64">
        <v>1082.55</v>
      </c>
      <c r="F9" s="64">
        <v>1120.3500000000001</v>
      </c>
      <c r="G9" s="64">
        <v>1129.8</v>
      </c>
      <c r="H9" s="64">
        <v>770.7</v>
      </c>
      <c r="I9" s="64">
        <v>825.30000000000018</v>
      </c>
      <c r="J9" s="64">
        <v>823.2</v>
      </c>
      <c r="K9" s="64">
        <v>845.25</v>
      </c>
      <c r="L9" s="64">
        <v>949.19999999999993</v>
      </c>
      <c r="M9" s="64">
        <v>964.95000000000016</v>
      </c>
      <c r="N9" s="64">
        <v>1182.3</v>
      </c>
      <c r="O9" s="64">
        <v>1062.5999999999999</v>
      </c>
      <c r="P9" s="64">
        <v>1231.6500000000001</v>
      </c>
      <c r="Q9" s="64">
        <v>1286.25</v>
      </c>
      <c r="R9" s="64">
        <v>1635.375</v>
      </c>
      <c r="S9" s="64">
        <v>1594.95</v>
      </c>
      <c r="T9" s="64">
        <v>1502.0250000000001</v>
      </c>
      <c r="U9" s="64">
        <v>913.49999999999989</v>
      </c>
      <c r="V9" s="64">
        <v>1599.15</v>
      </c>
      <c r="W9" s="64">
        <v>2459.1</v>
      </c>
      <c r="X9" s="64">
        <v>2150.4</v>
      </c>
      <c r="Y9" s="64">
        <v>2278.5</v>
      </c>
      <c r="Z9" s="64">
        <v>1484.175</v>
      </c>
      <c r="AA9" s="64">
        <v>1222.2</v>
      </c>
      <c r="AB9" s="64">
        <v>1250.0250000000001</v>
      </c>
      <c r="AC9" s="64">
        <v>1228.5</v>
      </c>
      <c r="AD9" s="64">
        <v>1661.625</v>
      </c>
      <c r="AE9" s="64">
        <v>1480.5</v>
      </c>
      <c r="AF9" s="64">
        <v>2465.4</v>
      </c>
      <c r="AG9" s="65">
        <v>2278.5</v>
      </c>
      <c r="AH9" s="52"/>
      <c r="AI9" s="22" t="s">
        <v>19</v>
      </c>
      <c r="AJ9" t="s">
        <v>79</v>
      </c>
      <c r="AK9" s="18"/>
      <c r="AL9" s="19"/>
      <c r="AM9" s="5"/>
      <c r="AN9" s="8"/>
      <c r="AO9" s="8"/>
      <c r="AP9" s="8"/>
      <c r="AQ9" s="5"/>
      <c r="AR9" s="1"/>
      <c r="AS9" s="1"/>
      <c r="AT9" s="1"/>
    </row>
    <row r="10" spans="1:46" x14ac:dyDescent="0.25">
      <c r="A10" s="58">
        <v>0.5</v>
      </c>
      <c r="B10" s="66">
        <v>1473.15</v>
      </c>
      <c r="C10" s="67">
        <v>1515.15</v>
      </c>
      <c r="D10" s="67">
        <v>1547.6999999999998</v>
      </c>
      <c r="E10" s="67">
        <v>1088.8500000000001</v>
      </c>
      <c r="F10" s="67">
        <v>1142.4000000000001</v>
      </c>
      <c r="G10" s="67">
        <v>1151.8500000000001</v>
      </c>
      <c r="H10" s="67">
        <v>914.55</v>
      </c>
      <c r="I10" s="67">
        <v>979.65000000000009</v>
      </c>
      <c r="J10" s="67">
        <v>977.55000000000007</v>
      </c>
      <c r="K10" s="67">
        <v>1002.75</v>
      </c>
      <c r="L10" s="67">
        <v>1125.6000000000001</v>
      </c>
      <c r="M10" s="67">
        <v>1144.5</v>
      </c>
      <c r="N10" s="67">
        <v>1245.3</v>
      </c>
      <c r="O10" s="67">
        <v>1132.95</v>
      </c>
      <c r="P10" s="67">
        <v>1462.65</v>
      </c>
      <c r="Q10" s="67">
        <v>1564.5000000000002</v>
      </c>
      <c r="R10" s="67">
        <v>1864.2750000000003</v>
      </c>
      <c r="S10" s="67">
        <v>1804.95</v>
      </c>
      <c r="T10" s="67">
        <v>2201.3250000000003</v>
      </c>
      <c r="U10" s="67">
        <v>1017.4500000000002</v>
      </c>
      <c r="V10" s="67">
        <v>2179.8000000000002</v>
      </c>
      <c r="W10" s="67">
        <v>2724.7500000000005</v>
      </c>
      <c r="X10" s="67">
        <v>2713.2000000000003</v>
      </c>
      <c r="Y10" s="67">
        <v>2833.9500000000003</v>
      </c>
      <c r="Z10" s="67">
        <v>1770.8249999999998</v>
      </c>
      <c r="AA10" s="67">
        <v>1508.8500000000001</v>
      </c>
      <c r="AB10" s="67">
        <v>1536.675</v>
      </c>
      <c r="AC10" s="67">
        <v>1515.15</v>
      </c>
      <c r="AD10" s="67">
        <v>1890.5250000000003</v>
      </c>
      <c r="AE10" s="67">
        <v>2179.8000000000002</v>
      </c>
      <c r="AF10" s="67">
        <v>2731.05</v>
      </c>
      <c r="AG10" s="68">
        <v>2833.9500000000003</v>
      </c>
      <c r="AI10" s="22" t="s">
        <v>20</v>
      </c>
      <c r="AJ10" t="s">
        <v>80</v>
      </c>
      <c r="AK10" s="18"/>
      <c r="AL10" s="19"/>
      <c r="AM10" s="5"/>
      <c r="AN10" s="5"/>
      <c r="AO10" s="5"/>
      <c r="AP10" s="5"/>
      <c r="AQ10" s="5"/>
      <c r="AR10" s="1"/>
      <c r="AS10" s="1"/>
      <c r="AT10" s="1"/>
    </row>
    <row r="11" spans="1:46" x14ac:dyDescent="0.25">
      <c r="A11" s="58">
        <v>1</v>
      </c>
      <c r="B11" s="66">
        <v>1691.5500000000002</v>
      </c>
      <c r="C11" s="67">
        <v>1751.4</v>
      </c>
      <c r="D11" s="67">
        <v>1794.45</v>
      </c>
      <c r="E11" s="67">
        <v>1455.3</v>
      </c>
      <c r="F11" s="67">
        <v>1505.7</v>
      </c>
      <c r="G11" s="67">
        <v>1518.3</v>
      </c>
      <c r="H11" s="67">
        <v>1095.1500000000001</v>
      </c>
      <c r="I11" s="67">
        <v>1171.8</v>
      </c>
      <c r="J11" s="67">
        <v>1167.6000000000001</v>
      </c>
      <c r="K11" s="67">
        <v>1199.1000000000001</v>
      </c>
      <c r="L11" s="67">
        <v>1345.05</v>
      </c>
      <c r="M11" s="67">
        <v>1367.1000000000001</v>
      </c>
      <c r="N11" s="67">
        <v>1524.6000000000001</v>
      </c>
      <c r="O11" s="67">
        <v>1434.3000000000004</v>
      </c>
      <c r="P11" s="67">
        <v>1548.75</v>
      </c>
      <c r="Q11" s="67">
        <v>1685.25</v>
      </c>
      <c r="R11" s="67">
        <v>2263.8000000000002</v>
      </c>
      <c r="S11" s="67">
        <v>2128.35</v>
      </c>
      <c r="T11" s="67">
        <v>2713.2000000000003</v>
      </c>
      <c r="U11" s="67">
        <v>1207.5</v>
      </c>
      <c r="V11" s="67">
        <v>2532.6000000000004</v>
      </c>
      <c r="W11" s="67">
        <v>3147.8999999999996</v>
      </c>
      <c r="X11" s="67">
        <v>3142.65</v>
      </c>
      <c r="Y11" s="67">
        <v>3277.05</v>
      </c>
      <c r="Z11" s="67">
        <v>2104.2000000000003</v>
      </c>
      <c r="AA11" s="67">
        <v>1741.95</v>
      </c>
      <c r="AB11" s="67">
        <v>1797.6000000000001</v>
      </c>
      <c r="AC11" s="67">
        <v>1754.5500000000002</v>
      </c>
      <c r="AD11" s="67">
        <v>2295.3000000000002</v>
      </c>
      <c r="AE11" s="67">
        <v>2649.1499999999996</v>
      </c>
      <c r="AF11" s="67">
        <v>3139.5</v>
      </c>
      <c r="AG11" s="68">
        <v>3256.0500000000006</v>
      </c>
      <c r="AI11" s="22" t="s">
        <v>21</v>
      </c>
      <c r="AJ11" t="s">
        <v>81</v>
      </c>
      <c r="AK11" s="18"/>
      <c r="AL11" s="19"/>
      <c r="AM11" s="5"/>
      <c r="AN11" s="5"/>
      <c r="AO11" s="5"/>
      <c r="AP11" s="5"/>
      <c r="AQ11" s="5"/>
      <c r="AR11" s="1"/>
      <c r="AS11" s="1"/>
      <c r="AT11" s="1"/>
    </row>
    <row r="12" spans="1:46" x14ac:dyDescent="0.25">
      <c r="A12" s="58">
        <v>1.5</v>
      </c>
      <c r="B12" s="66">
        <v>1957.2</v>
      </c>
      <c r="C12" s="67">
        <v>2036.9999999999998</v>
      </c>
      <c r="D12" s="67">
        <v>2090.5500000000002</v>
      </c>
      <c r="E12" s="67">
        <v>1704.15</v>
      </c>
      <c r="F12" s="67">
        <v>1761.9</v>
      </c>
      <c r="G12" s="67">
        <v>1776.6</v>
      </c>
      <c r="H12" s="67">
        <v>1305.1500000000001</v>
      </c>
      <c r="I12" s="67">
        <v>1393.3500000000001</v>
      </c>
      <c r="J12" s="67">
        <v>1389.15</v>
      </c>
      <c r="K12" s="67">
        <v>1448.9999999999998</v>
      </c>
      <c r="L12" s="67">
        <v>1594.95</v>
      </c>
      <c r="M12" s="67">
        <v>1620.15</v>
      </c>
      <c r="N12" s="67">
        <v>1828.0500000000002</v>
      </c>
      <c r="O12" s="67">
        <v>1713.6000000000001</v>
      </c>
      <c r="P12" s="67">
        <v>1853.2499999999998</v>
      </c>
      <c r="Q12" s="67">
        <v>2012.8500000000001</v>
      </c>
      <c r="R12" s="67">
        <v>2880.6750000000002</v>
      </c>
      <c r="S12" s="67">
        <v>2479.0500000000002</v>
      </c>
      <c r="T12" s="67">
        <v>3251.3249999999998</v>
      </c>
      <c r="U12" s="67">
        <v>1518.3</v>
      </c>
      <c r="V12" s="67">
        <v>2934.75</v>
      </c>
      <c r="W12" s="67">
        <v>3618.3</v>
      </c>
      <c r="X12" s="67">
        <v>3616.2000000000007</v>
      </c>
      <c r="Y12" s="67">
        <v>3774.75</v>
      </c>
      <c r="Z12" s="67">
        <v>2667.5250000000005</v>
      </c>
      <c r="AA12" s="67">
        <v>2043.3000000000002</v>
      </c>
      <c r="AB12" s="67">
        <v>2126.7750000000005</v>
      </c>
      <c r="AC12" s="67">
        <v>2062.2000000000003</v>
      </c>
      <c r="AD12" s="67">
        <v>2938.4250000000002</v>
      </c>
      <c r="AE12" s="67">
        <v>3165.75</v>
      </c>
      <c r="AF12" s="67">
        <v>3616.2000000000007</v>
      </c>
      <c r="AG12" s="68">
        <v>3753.75</v>
      </c>
      <c r="AI12" s="22" t="s">
        <v>22</v>
      </c>
      <c r="AJ12" t="s">
        <v>82</v>
      </c>
      <c r="AK12" s="18"/>
      <c r="AL12" s="19"/>
      <c r="AM12" s="5"/>
      <c r="AN12" s="5"/>
      <c r="AO12" s="5"/>
      <c r="AP12" s="5"/>
      <c r="AQ12" s="5"/>
      <c r="AR12" s="1"/>
      <c r="AS12" s="1"/>
      <c r="AT12" s="1"/>
    </row>
    <row r="13" spans="1:46" x14ac:dyDescent="0.25">
      <c r="A13" s="58">
        <v>2</v>
      </c>
      <c r="B13" s="66">
        <v>2181.9</v>
      </c>
      <c r="C13" s="67">
        <v>2280.6</v>
      </c>
      <c r="D13" s="67">
        <v>2344.65</v>
      </c>
      <c r="E13" s="67">
        <v>1921.5</v>
      </c>
      <c r="F13" s="67">
        <v>1953</v>
      </c>
      <c r="G13" s="67">
        <v>1953</v>
      </c>
      <c r="H13" s="67">
        <v>1412.25</v>
      </c>
      <c r="I13" s="67">
        <v>1501.5</v>
      </c>
      <c r="J13" s="67">
        <v>1497.3</v>
      </c>
      <c r="K13" s="67">
        <v>1560.3</v>
      </c>
      <c r="L13" s="67">
        <v>1718.8500000000001</v>
      </c>
      <c r="M13" s="67">
        <v>1746.1500000000003</v>
      </c>
      <c r="N13" s="67">
        <v>1988.7</v>
      </c>
      <c r="O13" s="67">
        <v>1855.35</v>
      </c>
      <c r="P13" s="67">
        <v>2082.1499999999996</v>
      </c>
      <c r="Q13" s="67">
        <v>2178.75</v>
      </c>
      <c r="R13" s="67">
        <v>3164.7000000000003</v>
      </c>
      <c r="S13" s="67">
        <v>2659.65</v>
      </c>
      <c r="T13" s="67">
        <v>3586.7999999999997</v>
      </c>
      <c r="U13" s="67">
        <v>1634.8500000000001</v>
      </c>
      <c r="V13" s="67">
        <v>3123.75</v>
      </c>
      <c r="W13" s="67">
        <v>3838.8</v>
      </c>
      <c r="X13" s="67">
        <v>4047.7499999999995</v>
      </c>
      <c r="Y13" s="67">
        <v>4230.45</v>
      </c>
      <c r="Z13" s="67">
        <v>3007.2000000000003</v>
      </c>
      <c r="AA13" s="67">
        <v>2282.7000000000003</v>
      </c>
      <c r="AB13" s="67">
        <v>2394</v>
      </c>
      <c r="AC13" s="67">
        <v>2307.9</v>
      </c>
      <c r="AD13" s="67">
        <v>3227.7000000000003</v>
      </c>
      <c r="AE13" s="67">
        <v>3458.7000000000007</v>
      </c>
      <c r="AF13" s="67">
        <v>3822</v>
      </c>
      <c r="AG13" s="68">
        <v>4188.45</v>
      </c>
      <c r="AI13" s="22" t="s">
        <v>83</v>
      </c>
      <c r="AJ13" t="s">
        <v>84</v>
      </c>
      <c r="AK13" s="18"/>
      <c r="AL13" s="19"/>
      <c r="AM13" s="5"/>
      <c r="AN13" s="5"/>
      <c r="AO13" s="5"/>
      <c r="AP13" s="5"/>
      <c r="AQ13" s="5"/>
      <c r="AR13" s="1"/>
      <c r="AS13" s="1"/>
      <c r="AT13" s="1"/>
    </row>
    <row r="14" spans="1:46" x14ac:dyDescent="0.25">
      <c r="A14" s="58">
        <v>2.5</v>
      </c>
      <c r="B14" s="66">
        <v>2448.6</v>
      </c>
      <c r="C14" s="67">
        <v>2565.1500000000005</v>
      </c>
      <c r="D14" s="67">
        <v>2639.7000000000003</v>
      </c>
      <c r="E14" s="67">
        <v>2343.6</v>
      </c>
      <c r="F14" s="67">
        <v>2381.4</v>
      </c>
      <c r="G14" s="67">
        <v>2381.4</v>
      </c>
      <c r="H14" s="67">
        <v>1621.2</v>
      </c>
      <c r="I14" s="67">
        <v>1714.6499999999999</v>
      </c>
      <c r="J14" s="67">
        <v>1724.1</v>
      </c>
      <c r="K14" s="67">
        <v>1780.8000000000002</v>
      </c>
      <c r="L14" s="67">
        <v>1958.2499999999998</v>
      </c>
      <c r="M14" s="67">
        <v>1989.75</v>
      </c>
      <c r="N14" s="67">
        <v>2278.5</v>
      </c>
      <c r="O14" s="67">
        <v>2121</v>
      </c>
      <c r="P14" s="67">
        <v>2428.65</v>
      </c>
      <c r="Q14" s="67">
        <v>2495.85</v>
      </c>
      <c r="R14" s="67">
        <v>3615.6750000000002</v>
      </c>
      <c r="S14" s="67">
        <v>3005.1000000000008</v>
      </c>
      <c r="T14" s="67">
        <v>4118.625</v>
      </c>
      <c r="U14" s="67">
        <v>1867.95</v>
      </c>
      <c r="V14" s="67">
        <v>3505.9500000000003</v>
      </c>
      <c r="W14" s="67">
        <v>4286.1000000000004</v>
      </c>
      <c r="X14" s="67">
        <v>4520.25</v>
      </c>
      <c r="Y14" s="67">
        <v>4728.1500000000005</v>
      </c>
      <c r="Z14" s="67">
        <v>3571.5750000000003</v>
      </c>
      <c r="AA14" s="67">
        <v>2585.1</v>
      </c>
      <c r="AB14" s="67">
        <v>2724.2249999999999</v>
      </c>
      <c r="AC14" s="67">
        <v>2616.5999999999995</v>
      </c>
      <c r="AD14" s="67">
        <v>3704.9249999999997</v>
      </c>
      <c r="AE14" s="67">
        <v>3968.9999999999995</v>
      </c>
      <c r="AF14" s="67">
        <v>4275.6000000000004</v>
      </c>
      <c r="AG14" s="68">
        <v>4686.1500000000005</v>
      </c>
      <c r="AI14" s="22" t="s">
        <v>23</v>
      </c>
      <c r="AJ14" t="s">
        <v>85</v>
      </c>
      <c r="AK14" s="18"/>
      <c r="AL14" s="19"/>
      <c r="AM14" s="5"/>
      <c r="AN14" s="5"/>
      <c r="AO14" s="5"/>
      <c r="AP14" s="5"/>
      <c r="AQ14" s="5"/>
      <c r="AR14" s="1"/>
      <c r="AS14" s="1"/>
      <c r="AT14" s="1"/>
    </row>
    <row r="15" spans="1:46" x14ac:dyDescent="0.25">
      <c r="A15" s="58">
        <v>3</v>
      </c>
      <c r="B15" s="66">
        <v>2673.3</v>
      </c>
      <c r="C15" s="67">
        <v>2808.7499999999995</v>
      </c>
      <c r="D15" s="67">
        <v>2894.85</v>
      </c>
      <c r="E15" s="67">
        <v>2563.0500000000002</v>
      </c>
      <c r="F15" s="67">
        <v>2606.1</v>
      </c>
      <c r="G15" s="67">
        <v>2606.1</v>
      </c>
      <c r="H15" s="67">
        <v>1758.75</v>
      </c>
      <c r="I15" s="67">
        <v>1860.6000000000004</v>
      </c>
      <c r="J15" s="67">
        <v>1871.1000000000001</v>
      </c>
      <c r="K15" s="67">
        <v>2026.5</v>
      </c>
      <c r="L15" s="67">
        <v>2123.1000000000004</v>
      </c>
      <c r="M15" s="67">
        <v>2156.7000000000003</v>
      </c>
      <c r="N15" s="67">
        <v>2514.7500000000005</v>
      </c>
      <c r="O15" s="67">
        <v>2346.75</v>
      </c>
      <c r="P15" s="67">
        <v>2653.3500000000004</v>
      </c>
      <c r="Q15" s="67">
        <v>3049.2000000000003</v>
      </c>
      <c r="R15" s="67">
        <v>4189.5</v>
      </c>
      <c r="S15" s="67">
        <v>3270.75</v>
      </c>
      <c r="T15" s="67">
        <v>4534.95</v>
      </c>
      <c r="U15" s="67">
        <v>2273.25</v>
      </c>
      <c r="V15" s="67">
        <v>3847.2000000000003</v>
      </c>
      <c r="W15" s="67">
        <v>4697.7</v>
      </c>
      <c r="X15" s="67">
        <v>4949.7</v>
      </c>
      <c r="Y15" s="67">
        <v>5183.8500000000004</v>
      </c>
      <c r="Z15" s="67">
        <v>3911.25</v>
      </c>
      <c r="AA15" s="67">
        <v>2824.5</v>
      </c>
      <c r="AB15" s="67">
        <v>2991.4500000000003</v>
      </c>
      <c r="AC15" s="67">
        <v>2862.3</v>
      </c>
      <c r="AD15" s="67">
        <v>4284</v>
      </c>
      <c r="AE15" s="67">
        <v>4342.8</v>
      </c>
      <c r="AF15" s="67">
        <v>4672.5</v>
      </c>
      <c r="AG15" s="68">
        <v>5120.8500000000004</v>
      </c>
      <c r="AI15" s="22" t="s">
        <v>3</v>
      </c>
      <c r="AJ15" t="s">
        <v>86</v>
      </c>
      <c r="AK15" s="18"/>
      <c r="AL15" s="19"/>
      <c r="AM15" s="5"/>
      <c r="AN15" s="5"/>
      <c r="AO15" s="5"/>
      <c r="AP15" s="5"/>
      <c r="AQ15" s="5"/>
      <c r="AR15" s="1"/>
      <c r="AS15" s="1"/>
      <c r="AT15" s="1"/>
    </row>
    <row r="16" spans="1:46" x14ac:dyDescent="0.25">
      <c r="A16" s="58">
        <v>3.5</v>
      </c>
      <c r="B16" s="66">
        <v>2940</v>
      </c>
      <c r="C16" s="67">
        <v>3094.35</v>
      </c>
      <c r="D16" s="67">
        <v>3190.9500000000003</v>
      </c>
      <c r="E16" s="67">
        <v>2933.7000000000007</v>
      </c>
      <c r="F16" s="67">
        <v>3007.2000000000003</v>
      </c>
      <c r="G16" s="67">
        <v>3007.2000000000003</v>
      </c>
      <c r="H16" s="67">
        <v>1950.8999999999999</v>
      </c>
      <c r="I16" s="67">
        <v>2044.3500000000004</v>
      </c>
      <c r="J16" s="67">
        <v>2055.8999999999996</v>
      </c>
      <c r="K16" s="67">
        <v>2223.9</v>
      </c>
      <c r="L16" s="67">
        <v>2326.8000000000002</v>
      </c>
      <c r="M16" s="67">
        <v>2362.5</v>
      </c>
      <c r="N16" s="67">
        <v>2828.7000000000003</v>
      </c>
      <c r="O16" s="67">
        <v>2615.5499999999997</v>
      </c>
      <c r="P16" s="67">
        <v>2916.9</v>
      </c>
      <c r="Q16" s="67">
        <v>3284.4</v>
      </c>
      <c r="R16" s="67">
        <v>4605.8249999999998</v>
      </c>
      <c r="S16" s="67">
        <v>3560.5499999999997</v>
      </c>
      <c r="T16" s="67">
        <v>4994.3250000000007</v>
      </c>
      <c r="U16" s="67">
        <v>2497.9500000000007</v>
      </c>
      <c r="V16" s="67">
        <v>4229.4000000000005</v>
      </c>
      <c r="W16" s="67">
        <v>5141.8500000000004</v>
      </c>
      <c r="X16" s="67">
        <v>5423.25</v>
      </c>
      <c r="Y16" s="67">
        <v>5682.6</v>
      </c>
      <c r="Z16" s="67">
        <v>4475.625</v>
      </c>
      <c r="AA16" s="67">
        <v>3126.9</v>
      </c>
      <c r="AB16" s="67">
        <v>3321.6750000000006</v>
      </c>
      <c r="AC16" s="67">
        <v>3171</v>
      </c>
      <c r="AD16" s="67">
        <v>4726.5749999999998</v>
      </c>
      <c r="AE16" s="67">
        <v>4780.6500000000005</v>
      </c>
      <c r="AF16" s="67">
        <v>5122.95</v>
      </c>
      <c r="AG16" s="68">
        <v>5619.5999999999995</v>
      </c>
      <c r="AI16" s="23"/>
      <c r="AJ16" s="13" t="s">
        <v>87</v>
      </c>
      <c r="AK16" s="8"/>
      <c r="AL16" s="8"/>
      <c r="AM16" s="8"/>
      <c r="AN16" s="8"/>
      <c r="AO16" s="8"/>
      <c r="AP16" s="8"/>
      <c r="AQ16" s="8"/>
      <c r="AR16" s="1"/>
      <c r="AS16" s="1"/>
      <c r="AT16" s="1"/>
    </row>
    <row r="17" spans="1:46" x14ac:dyDescent="0.25">
      <c r="A17" s="58">
        <v>4</v>
      </c>
      <c r="B17" s="66">
        <v>3163.65</v>
      </c>
      <c r="C17" s="67">
        <v>3337.9500000000003</v>
      </c>
      <c r="D17" s="67">
        <v>3444.0000000000005</v>
      </c>
      <c r="E17" s="67">
        <v>3228.75</v>
      </c>
      <c r="F17" s="67">
        <v>3257.1000000000004</v>
      </c>
      <c r="G17" s="67">
        <v>3284.4</v>
      </c>
      <c r="H17" s="67">
        <v>2089.5</v>
      </c>
      <c r="I17" s="67">
        <v>2190.3000000000002</v>
      </c>
      <c r="J17" s="67">
        <v>2219.7000000000003</v>
      </c>
      <c r="K17" s="67">
        <v>2380.35</v>
      </c>
      <c r="L17" s="67">
        <v>2492.7000000000003</v>
      </c>
      <c r="M17" s="67">
        <v>2531.5500000000006</v>
      </c>
      <c r="N17" s="67">
        <v>3101.7000000000003</v>
      </c>
      <c r="O17" s="67">
        <v>2840.25</v>
      </c>
      <c r="P17" s="67">
        <v>3137.4</v>
      </c>
      <c r="Q17" s="67">
        <v>3533.25</v>
      </c>
      <c r="R17" s="67">
        <v>4981.2</v>
      </c>
      <c r="S17" s="67">
        <v>3810.4500000000003</v>
      </c>
      <c r="T17" s="67">
        <v>5410.6500000000005</v>
      </c>
      <c r="U17" s="67">
        <v>2681.7000000000003</v>
      </c>
      <c r="V17" s="67">
        <v>4569.6000000000004</v>
      </c>
      <c r="W17" s="67">
        <v>5548.2</v>
      </c>
      <c r="X17" s="67">
        <v>5853.75</v>
      </c>
      <c r="Y17" s="67">
        <v>6137.25</v>
      </c>
      <c r="Z17" s="67">
        <v>4814.25</v>
      </c>
      <c r="AA17" s="67">
        <v>3365.2500000000005</v>
      </c>
      <c r="AB17" s="67">
        <v>3587.8500000000004</v>
      </c>
      <c r="AC17" s="67">
        <v>3415.65</v>
      </c>
      <c r="AD17" s="67">
        <v>5107.2</v>
      </c>
      <c r="AE17" s="67">
        <v>5154.45</v>
      </c>
      <c r="AF17" s="67">
        <v>5514.6</v>
      </c>
      <c r="AG17" s="68">
        <v>6053.25</v>
      </c>
      <c r="AI17" s="23"/>
      <c r="AJ17" s="13" t="s">
        <v>88</v>
      </c>
      <c r="AK17" s="8"/>
      <c r="AL17" s="8"/>
      <c r="AM17" s="8"/>
      <c r="AN17" s="8"/>
      <c r="AO17" s="8"/>
      <c r="AP17" s="8"/>
      <c r="AQ17" s="8"/>
      <c r="AR17" s="1"/>
      <c r="AS17" s="1"/>
      <c r="AT17" s="1"/>
    </row>
    <row r="18" spans="1:46" x14ac:dyDescent="0.25">
      <c r="A18" s="58">
        <v>4.5</v>
      </c>
      <c r="B18" s="66">
        <v>3429.2999999999997</v>
      </c>
      <c r="C18" s="67">
        <v>3622.5</v>
      </c>
      <c r="D18" s="67">
        <v>3739.05</v>
      </c>
      <c r="E18" s="67">
        <v>3552.15</v>
      </c>
      <c r="F18" s="67">
        <v>3582.6000000000008</v>
      </c>
      <c r="G18" s="67">
        <v>3613.0499999999997</v>
      </c>
      <c r="H18" s="67">
        <v>2283.75</v>
      </c>
      <c r="I18" s="67">
        <v>2373</v>
      </c>
      <c r="J18" s="67">
        <v>2405.5500000000002</v>
      </c>
      <c r="K18" s="67">
        <v>2578.7999999999997</v>
      </c>
      <c r="L18" s="67">
        <v>2696.4</v>
      </c>
      <c r="M18" s="67">
        <v>2737.3499999999995</v>
      </c>
      <c r="N18" s="67">
        <v>3418.8</v>
      </c>
      <c r="O18" s="67">
        <v>3109.05</v>
      </c>
      <c r="P18" s="67">
        <v>3397.8</v>
      </c>
      <c r="Q18" s="67">
        <v>3814.65</v>
      </c>
      <c r="R18" s="67">
        <v>5398.5749999999998</v>
      </c>
      <c r="S18" s="67">
        <v>4093.9500000000003</v>
      </c>
      <c r="T18" s="67">
        <v>5860.5749999999998</v>
      </c>
      <c r="U18" s="67">
        <v>2907.4500000000007</v>
      </c>
      <c r="V18" s="67">
        <v>4950.75</v>
      </c>
      <c r="W18" s="67">
        <v>5995.5000000000009</v>
      </c>
      <c r="X18" s="67">
        <v>6326.25</v>
      </c>
      <c r="Y18" s="67">
        <v>6632.85</v>
      </c>
      <c r="Z18" s="67">
        <v>5377.5749999999998</v>
      </c>
      <c r="AA18" s="67">
        <v>3666.6000000000004</v>
      </c>
      <c r="AB18" s="67">
        <v>3917.0250000000001</v>
      </c>
      <c r="AC18" s="67">
        <v>3723.3</v>
      </c>
      <c r="AD18" s="67">
        <v>5550.8249999999989</v>
      </c>
      <c r="AE18" s="67">
        <v>5582.85</v>
      </c>
      <c r="AF18" s="67">
        <v>5968.2</v>
      </c>
      <c r="AG18" s="68">
        <v>6548.85</v>
      </c>
      <c r="AI18" s="23"/>
      <c r="AJ18" s="13" t="s">
        <v>89</v>
      </c>
      <c r="AK18" s="8"/>
      <c r="AL18" s="8"/>
      <c r="AM18" s="8"/>
      <c r="AN18" s="8"/>
      <c r="AO18" s="8"/>
      <c r="AP18" s="8"/>
      <c r="AQ18" s="8"/>
      <c r="AR18" s="1"/>
      <c r="AS18" s="1"/>
      <c r="AT18" s="1"/>
    </row>
    <row r="19" spans="1:46" x14ac:dyDescent="0.25">
      <c r="A19" s="58">
        <v>5</v>
      </c>
      <c r="B19" s="66">
        <v>3653.9999999999995</v>
      </c>
      <c r="C19" s="67">
        <v>3865.05</v>
      </c>
      <c r="D19" s="67">
        <v>3992.1000000000004</v>
      </c>
      <c r="E19" s="67">
        <v>3836.7000000000003</v>
      </c>
      <c r="F19" s="67">
        <v>3869.25</v>
      </c>
      <c r="G19" s="67">
        <v>3901.7999999999997</v>
      </c>
      <c r="H19" s="67">
        <v>2422.35</v>
      </c>
      <c r="I19" s="67">
        <v>2516.85</v>
      </c>
      <c r="J19" s="67">
        <v>2551.5</v>
      </c>
      <c r="K19" s="67">
        <v>2735.25</v>
      </c>
      <c r="L19" s="67">
        <v>2862.3</v>
      </c>
      <c r="M19" s="67">
        <v>2906.4000000000005</v>
      </c>
      <c r="N19" s="67">
        <v>3660.3</v>
      </c>
      <c r="O19" s="67">
        <v>3335.8500000000004</v>
      </c>
      <c r="P19" s="67">
        <v>3619.3500000000004</v>
      </c>
      <c r="Q19" s="67">
        <v>4381.6500000000005</v>
      </c>
      <c r="R19" s="67">
        <v>5776.05</v>
      </c>
      <c r="S19" s="67">
        <v>4337.55</v>
      </c>
      <c r="T19" s="67">
        <v>6283.2</v>
      </c>
      <c r="U19" s="67">
        <v>3087</v>
      </c>
      <c r="V19" s="67">
        <v>5286.75</v>
      </c>
      <c r="W19" s="67">
        <v>6400.7999999999993</v>
      </c>
      <c r="X19" s="67">
        <v>6756.7500000000009</v>
      </c>
      <c r="Y19" s="67">
        <v>7088.55</v>
      </c>
      <c r="Z19" s="67">
        <v>5717.25</v>
      </c>
      <c r="AA19" s="67">
        <v>3906</v>
      </c>
      <c r="AB19" s="67">
        <v>4184.25</v>
      </c>
      <c r="AC19" s="67">
        <v>3968.9999999999995</v>
      </c>
      <c r="AD19" s="67">
        <v>5933.55</v>
      </c>
      <c r="AE19" s="67">
        <v>5962.95</v>
      </c>
      <c r="AF19" s="67">
        <v>6358.8</v>
      </c>
      <c r="AG19" s="68">
        <v>6983.55</v>
      </c>
      <c r="AI19" s="23"/>
      <c r="AJ19" s="8"/>
      <c r="AK19" s="8"/>
      <c r="AL19" s="8"/>
      <c r="AM19" s="8"/>
      <c r="AN19" s="8"/>
      <c r="AO19" s="8"/>
      <c r="AP19" s="8"/>
      <c r="AQ19" s="8"/>
      <c r="AR19" s="1"/>
      <c r="AS19" s="1"/>
      <c r="AT19" s="1"/>
    </row>
    <row r="20" spans="1:46" x14ac:dyDescent="0.25">
      <c r="A20" s="58">
        <v>5.5</v>
      </c>
      <c r="B20" s="66">
        <v>3901.7999999999997</v>
      </c>
      <c r="C20" s="67">
        <v>4131.75</v>
      </c>
      <c r="D20" s="67">
        <v>4269.2999999999993</v>
      </c>
      <c r="E20" s="67">
        <v>4097.1000000000004</v>
      </c>
      <c r="F20" s="67">
        <v>4131.75</v>
      </c>
      <c r="G20" s="67">
        <v>4165.3500000000004</v>
      </c>
      <c r="H20" s="67">
        <v>2584.0500000000002</v>
      </c>
      <c r="I20" s="67">
        <v>2684.85</v>
      </c>
      <c r="J20" s="67">
        <v>2723.7000000000003</v>
      </c>
      <c r="K20" s="67">
        <v>2916.9</v>
      </c>
      <c r="L20" s="67">
        <v>3049.2000000000003</v>
      </c>
      <c r="M20" s="67">
        <v>3095.3999999999996</v>
      </c>
      <c r="N20" s="67">
        <v>4461.45</v>
      </c>
      <c r="O20" s="67">
        <v>3577.3500000000004</v>
      </c>
      <c r="P20" s="67">
        <v>3982.65</v>
      </c>
      <c r="Q20" s="67">
        <v>4690.3500000000004</v>
      </c>
      <c r="R20" s="67">
        <v>7148.9249999999993</v>
      </c>
      <c r="S20" s="67">
        <v>5620.6500000000015</v>
      </c>
      <c r="T20" s="67">
        <v>7452.3749999999991</v>
      </c>
      <c r="U20" s="67">
        <v>3309.6000000000004</v>
      </c>
      <c r="V20" s="67">
        <v>5633.25</v>
      </c>
      <c r="W20" s="67">
        <v>7338.4500000000007</v>
      </c>
      <c r="X20" s="67">
        <v>7178.85</v>
      </c>
      <c r="Y20" s="67">
        <v>7549.5</v>
      </c>
      <c r="Z20" s="67">
        <v>6262.7250000000004</v>
      </c>
      <c r="AA20" s="67">
        <v>4189.5</v>
      </c>
      <c r="AB20" s="67">
        <v>4495.5749999999998</v>
      </c>
      <c r="AC20" s="67">
        <v>4258.8</v>
      </c>
      <c r="AD20" s="67">
        <v>7332.6749999999993</v>
      </c>
      <c r="AE20" s="67">
        <v>7110.6</v>
      </c>
      <c r="AF20" s="67">
        <v>7302.75</v>
      </c>
      <c r="AG20" s="68">
        <v>7444.5</v>
      </c>
      <c r="AI20" s="22" t="s">
        <v>4</v>
      </c>
      <c r="AJ20" t="s">
        <v>90</v>
      </c>
      <c r="AK20" s="18"/>
      <c r="AL20" s="19"/>
      <c r="AM20" s="5"/>
      <c r="AN20" s="5"/>
      <c r="AO20" s="5"/>
      <c r="AP20" s="5"/>
      <c r="AQ20" s="5"/>
      <c r="AR20" s="1"/>
      <c r="AS20" s="1"/>
      <c r="AT20" s="1"/>
    </row>
    <row r="21" spans="1:46" x14ac:dyDescent="0.25">
      <c r="A21" s="58">
        <v>6</v>
      </c>
      <c r="B21" s="66">
        <v>4112.8500000000004</v>
      </c>
      <c r="C21" s="67">
        <v>4361.7</v>
      </c>
      <c r="D21" s="67">
        <v>4508.7</v>
      </c>
      <c r="E21" s="67">
        <v>4322.8500000000004</v>
      </c>
      <c r="F21" s="67">
        <v>4358.55</v>
      </c>
      <c r="G21" s="67">
        <v>4395.3</v>
      </c>
      <c r="H21" s="67">
        <v>2710.05</v>
      </c>
      <c r="I21" s="67">
        <v>2815.05</v>
      </c>
      <c r="J21" s="67">
        <v>2852.85</v>
      </c>
      <c r="K21" s="67">
        <v>3055.5</v>
      </c>
      <c r="L21" s="67">
        <v>3195.15</v>
      </c>
      <c r="M21" s="67">
        <v>3243.4500000000003</v>
      </c>
      <c r="N21" s="67">
        <v>4750.2</v>
      </c>
      <c r="O21" s="67">
        <v>3916.4999999999995</v>
      </c>
      <c r="P21" s="67">
        <v>4248.3</v>
      </c>
      <c r="Q21" s="67">
        <v>4959.1500000000005</v>
      </c>
      <c r="R21" s="67">
        <v>7500.15</v>
      </c>
      <c r="S21" s="67">
        <v>5867.4000000000015</v>
      </c>
      <c r="T21" s="67">
        <v>7911.7499999999991</v>
      </c>
      <c r="U21" s="67">
        <v>3487.05</v>
      </c>
      <c r="V21" s="67">
        <v>5930.4000000000005</v>
      </c>
      <c r="W21" s="67">
        <v>7722.75</v>
      </c>
      <c r="X21" s="67">
        <v>7562.1000000000013</v>
      </c>
      <c r="Y21" s="67">
        <v>7980</v>
      </c>
      <c r="Z21" s="67">
        <v>6588.75</v>
      </c>
      <c r="AA21" s="67">
        <v>4415.25</v>
      </c>
      <c r="AB21" s="67">
        <v>4749.1500000000005</v>
      </c>
      <c r="AC21" s="67">
        <v>4490.8500000000004</v>
      </c>
      <c r="AD21" s="67">
        <v>7689.1500000000005</v>
      </c>
      <c r="AE21" s="67">
        <v>7527.4500000000007</v>
      </c>
      <c r="AF21" s="67">
        <v>7672.3499999999995</v>
      </c>
      <c r="AG21" s="68">
        <v>7854</v>
      </c>
      <c r="AI21" s="22" t="s">
        <v>5</v>
      </c>
      <c r="AJ21" t="s">
        <v>91</v>
      </c>
      <c r="AK21" s="18"/>
      <c r="AL21" s="19"/>
      <c r="AM21" s="5"/>
      <c r="AN21" s="5"/>
      <c r="AO21" s="5"/>
      <c r="AP21" s="5"/>
      <c r="AQ21" s="5"/>
      <c r="AR21" s="1"/>
      <c r="AS21" s="1"/>
      <c r="AT21" s="1"/>
    </row>
    <row r="22" spans="1:46" x14ac:dyDescent="0.25">
      <c r="A22" s="58">
        <v>6.5</v>
      </c>
      <c r="B22" s="66">
        <v>4373.25</v>
      </c>
      <c r="C22" s="67">
        <v>4639.95</v>
      </c>
      <c r="D22" s="67">
        <v>4798.5</v>
      </c>
      <c r="E22" s="67">
        <v>4591.6500000000005</v>
      </c>
      <c r="F22" s="67">
        <v>4629.45</v>
      </c>
      <c r="G22" s="67">
        <v>4668.3</v>
      </c>
      <c r="H22" s="67">
        <v>2872.8</v>
      </c>
      <c r="I22" s="67">
        <v>2983.0499999999997</v>
      </c>
      <c r="J22" s="67">
        <v>3022.9500000000003</v>
      </c>
      <c r="K22" s="67">
        <v>3236.1000000000004</v>
      </c>
      <c r="L22" s="67">
        <v>3384.1499999999996</v>
      </c>
      <c r="M22" s="67">
        <v>3435.6000000000004</v>
      </c>
      <c r="N22" s="67">
        <v>5077.7999999999993</v>
      </c>
      <c r="O22" s="67">
        <v>4205.25</v>
      </c>
      <c r="P22" s="67">
        <v>4519.2</v>
      </c>
      <c r="Q22" s="67">
        <v>5269.95</v>
      </c>
      <c r="R22" s="67">
        <v>7874.4750000000004</v>
      </c>
      <c r="S22" s="67">
        <v>6155.1</v>
      </c>
      <c r="T22" s="67">
        <v>8411.0249999999996</v>
      </c>
      <c r="U22" s="67">
        <v>3712.8</v>
      </c>
      <c r="V22" s="67">
        <v>6280.05</v>
      </c>
      <c r="W22" s="67">
        <v>8140.6500000000005</v>
      </c>
      <c r="X22" s="67">
        <v>7985.25</v>
      </c>
      <c r="Y22" s="67">
        <v>8465.1</v>
      </c>
      <c r="Z22" s="67">
        <v>7146.8250000000007</v>
      </c>
      <c r="AA22" s="67">
        <v>4711.3500000000004</v>
      </c>
      <c r="AB22" s="67">
        <v>5073.0749999999998</v>
      </c>
      <c r="AC22" s="67">
        <v>4793.25</v>
      </c>
      <c r="AD22" s="67">
        <v>8089.7250000000004</v>
      </c>
      <c r="AE22" s="67">
        <v>8005.2000000000016</v>
      </c>
      <c r="AF22" s="67">
        <v>8096.55</v>
      </c>
      <c r="AG22" s="68">
        <v>8339.1</v>
      </c>
      <c r="AI22" s="23"/>
      <c r="AJ22" s="13" t="s">
        <v>92</v>
      </c>
      <c r="AK22" s="8"/>
      <c r="AL22" s="8"/>
      <c r="AM22" s="8"/>
      <c r="AN22" s="8"/>
      <c r="AO22" s="8"/>
      <c r="AP22" s="8"/>
      <c r="AQ22" s="8"/>
      <c r="AR22" s="1"/>
      <c r="AS22" s="1"/>
      <c r="AT22" s="1"/>
    </row>
    <row r="23" spans="1:46" x14ac:dyDescent="0.25">
      <c r="A23" s="58">
        <v>7</v>
      </c>
      <c r="B23" s="66">
        <v>4591.6500000000005</v>
      </c>
      <c r="C23" s="67">
        <v>4878.3</v>
      </c>
      <c r="D23" s="67">
        <v>5046.2999999999993</v>
      </c>
      <c r="E23" s="67">
        <v>4814.25</v>
      </c>
      <c r="F23" s="67">
        <v>4855.2</v>
      </c>
      <c r="G23" s="67">
        <v>4895.1000000000004</v>
      </c>
      <c r="H23" s="67">
        <v>2998.8</v>
      </c>
      <c r="I23" s="67">
        <v>3114.2999999999997</v>
      </c>
      <c r="J23" s="67">
        <v>3157.35</v>
      </c>
      <c r="K23" s="67">
        <v>3379.9500000000007</v>
      </c>
      <c r="L23" s="67">
        <v>3529.05</v>
      </c>
      <c r="M23" s="67">
        <v>3582.6000000000008</v>
      </c>
      <c r="N23" s="67">
        <v>5368.6500000000015</v>
      </c>
      <c r="O23" s="67">
        <v>4531.8</v>
      </c>
      <c r="P23" s="67">
        <v>4749.1500000000005</v>
      </c>
      <c r="Q23" s="67">
        <v>5536.65</v>
      </c>
      <c r="R23" s="67">
        <v>8206.8000000000011</v>
      </c>
      <c r="S23" s="67">
        <v>6406.05</v>
      </c>
      <c r="T23" s="67">
        <v>8868.3000000000011</v>
      </c>
      <c r="U23" s="67">
        <v>3891.3</v>
      </c>
      <c r="V23" s="67">
        <v>6582.4500000000007</v>
      </c>
      <c r="W23" s="67">
        <v>8517.6</v>
      </c>
      <c r="X23" s="67">
        <v>8366.4</v>
      </c>
      <c r="Y23" s="67">
        <v>8910.3000000000011</v>
      </c>
      <c r="Z23" s="67">
        <v>7480.2000000000016</v>
      </c>
      <c r="AA23" s="67">
        <v>4944.45</v>
      </c>
      <c r="AB23" s="67">
        <v>5333.9999999999991</v>
      </c>
      <c r="AC23" s="67">
        <v>5032.6500000000005</v>
      </c>
      <c r="AD23" s="67">
        <v>8427.3000000000011</v>
      </c>
      <c r="AE23" s="67">
        <v>8419.9500000000007</v>
      </c>
      <c r="AF23" s="67">
        <v>8458.8000000000011</v>
      </c>
      <c r="AG23" s="68">
        <v>8763.3000000000011</v>
      </c>
      <c r="AI23" s="23"/>
      <c r="AJ23" s="13" t="s">
        <v>93</v>
      </c>
      <c r="AK23" s="8"/>
      <c r="AL23" s="8"/>
      <c r="AM23" s="8"/>
      <c r="AN23" s="8"/>
      <c r="AO23" s="8"/>
      <c r="AP23" s="8"/>
      <c r="AQ23" s="8"/>
      <c r="AR23" s="1"/>
      <c r="AS23" s="1"/>
      <c r="AT23" s="1"/>
    </row>
    <row r="24" spans="1:46" x14ac:dyDescent="0.25">
      <c r="A24" s="58">
        <v>7.5</v>
      </c>
      <c r="B24" s="66">
        <v>4852.05</v>
      </c>
      <c r="C24" s="67">
        <v>5156.5500000000011</v>
      </c>
      <c r="D24" s="67">
        <v>5336.1</v>
      </c>
      <c r="E24" s="67">
        <v>5083.05</v>
      </c>
      <c r="F24" s="67">
        <v>5126.1000000000004</v>
      </c>
      <c r="G24" s="67">
        <v>5168.1000000000004</v>
      </c>
      <c r="H24" s="67">
        <v>3162.6000000000008</v>
      </c>
      <c r="I24" s="67">
        <v>3283.3500000000004</v>
      </c>
      <c r="J24" s="67">
        <v>3325.3500000000004</v>
      </c>
      <c r="K24" s="67">
        <v>3557.4</v>
      </c>
      <c r="L24" s="67">
        <v>3715.9500000000003</v>
      </c>
      <c r="M24" s="67">
        <v>3771.6000000000004</v>
      </c>
      <c r="N24" s="67">
        <v>5698.35</v>
      </c>
      <c r="O24" s="67">
        <v>4799.55</v>
      </c>
      <c r="P24" s="67">
        <v>5021.1000000000013</v>
      </c>
      <c r="Q24" s="67">
        <v>5845.3499999999995</v>
      </c>
      <c r="R24" s="67">
        <v>8583.2250000000004</v>
      </c>
      <c r="S24" s="67">
        <v>6676.9500000000007</v>
      </c>
      <c r="T24" s="67">
        <v>9366.5249999999996</v>
      </c>
      <c r="U24" s="67">
        <v>4114.9500000000007</v>
      </c>
      <c r="V24" s="67">
        <v>6928.9500000000016</v>
      </c>
      <c r="W24" s="67">
        <v>8931.3000000000011</v>
      </c>
      <c r="X24" s="67">
        <v>8789.5500000000011</v>
      </c>
      <c r="Y24" s="67">
        <v>9395.4</v>
      </c>
      <c r="Z24" s="67">
        <v>8038.2749999999996</v>
      </c>
      <c r="AA24" s="67">
        <v>5240.5499999999993</v>
      </c>
      <c r="AB24" s="67">
        <v>5657.9250000000002</v>
      </c>
      <c r="AC24" s="67">
        <v>5335.0500000000011</v>
      </c>
      <c r="AD24" s="67">
        <v>8829.9750000000004</v>
      </c>
      <c r="AE24" s="67">
        <v>8896.65</v>
      </c>
      <c r="AF24" s="67">
        <v>8878.8000000000011</v>
      </c>
      <c r="AG24" s="68">
        <v>9248.4</v>
      </c>
      <c r="AI24" s="23"/>
      <c r="AJ24" s="8"/>
      <c r="AK24" s="8"/>
      <c r="AL24" s="8"/>
      <c r="AM24" s="8"/>
      <c r="AN24" s="8"/>
      <c r="AO24" s="8"/>
      <c r="AP24" s="8"/>
      <c r="AQ24" s="8"/>
      <c r="AR24" s="1"/>
      <c r="AS24" s="1"/>
      <c r="AT24" s="1"/>
    </row>
    <row r="25" spans="1:46" x14ac:dyDescent="0.25">
      <c r="A25" s="58">
        <v>8</v>
      </c>
      <c r="B25" s="66">
        <v>5056.7999999999993</v>
      </c>
      <c r="C25" s="67">
        <v>5380.2</v>
      </c>
      <c r="D25" s="67">
        <v>5569.2</v>
      </c>
      <c r="E25" s="67">
        <v>5309.85</v>
      </c>
      <c r="F25" s="67">
        <v>5353.95</v>
      </c>
      <c r="G25" s="67">
        <v>5398.05</v>
      </c>
      <c r="H25" s="67">
        <v>3287.55</v>
      </c>
      <c r="I25" s="67">
        <v>3412.5</v>
      </c>
      <c r="J25" s="67">
        <v>3460.8</v>
      </c>
      <c r="K25" s="67">
        <v>3702.3000000000006</v>
      </c>
      <c r="L25" s="67">
        <v>3866.1000000000004</v>
      </c>
      <c r="M25" s="67">
        <v>3923.8500000000008</v>
      </c>
      <c r="N25" s="67">
        <v>5988.1500000000005</v>
      </c>
      <c r="O25" s="67">
        <v>5030.5499999999993</v>
      </c>
      <c r="P25" s="67">
        <v>5251.05</v>
      </c>
      <c r="Q25" s="67">
        <v>6112.0499999999993</v>
      </c>
      <c r="R25" s="67">
        <v>8912.4</v>
      </c>
      <c r="S25" s="67">
        <v>6910.05</v>
      </c>
      <c r="T25" s="67">
        <v>9829.0500000000011</v>
      </c>
      <c r="U25" s="67">
        <v>4258.8</v>
      </c>
      <c r="V25" s="67">
        <v>7233.4500000000007</v>
      </c>
      <c r="W25" s="67">
        <v>9303</v>
      </c>
      <c r="X25" s="67">
        <v>9171.75</v>
      </c>
      <c r="Y25" s="67">
        <v>9812.25</v>
      </c>
      <c r="Z25" s="67">
        <v>8358</v>
      </c>
      <c r="AA25" s="67">
        <v>5460.0000000000009</v>
      </c>
      <c r="AB25" s="67">
        <v>5905.2000000000016</v>
      </c>
      <c r="AC25" s="67">
        <v>5560.8000000000011</v>
      </c>
      <c r="AD25" s="67">
        <v>9164.4</v>
      </c>
      <c r="AE25" s="67">
        <v>9316.65</v>
      </c>
      <c r="AF25" s="67">
        <v>9235.8000000000011</v>
      </c>
      <c r="AG25" s="68">
        <v>9644.25</v>
      </c>
      <c r="AI25" s="22" t="s">
        <v>24</v>
      </c>
      <c r="AJ25" t="s">
        <v>94</v>
      </c>
      <c r="AK25" s="18"/>
      <c r="AL25" s="19"/>
      <c r="AM25" s="5"/>
      <c r="AN25" s="5"/>
      <c r="AO25" s="5"/>
      <c r="AP25" s="5"/>
      <c r="AQ25" s="5"/>
      <c r="AR25" s="1"/>
      <c r="AS25" s="1"/>
      <c r="AT25" s="1"/>
    </row>
    <row r="26" spans="1:46" x14ac:dyDescent="0.25">
      <c r="A26" s="58">
        <v>8.5</v>
      </c>
      <c r="B26" s="66">
        <v>5297.25</v>
      </c>
      <c r="C26" s="67">
        <v>5639.55</v>
      </c>
      <c r="D26" s="67">
        <v>5837.9999999999991</v>
      </c>
      <c r="E26" s="67">
        <v>5574.45</v>
      </c>
      <c r="F26" s="67">
        <v>5620.6500000000015</v>
      </c>
      <c r="G26" s="67">
        <v>5666.85</v>
      </c>
      <c r="H26" s="67">
        <v>3452.4</v>
      </c>
      <c r="I26" s="67">
        <v>3582.6000000000008</v>
      </c>
      <c r="J26" s="67">
        <v>3627.7499999999995</v>
      </c>
      <c r="K26" s="67">
        <v>3879.75</v>
      </c>
      <c r="L26" s="67">
        <v>4051.9500000000003</v>
      </c>
      <c r="M26" s="67">
        <v>4111.7999999999993</v>
      </c>
      <c r="N26" s="67">
        <v>6316.8</v>
      </c>
      <c r="O26" s="67">
        <v>5306.7000000000007</v>
      </c>
      <c r="P26" s="67">
        <v>5521.95</v>
      </c>
      <c r="Q26" s="67">
        <v>6571.9500000000007</v>
      </c>
      <c r="R26" s="67">
        <v>9288.8250000000007</v>
      </c>
      <c r="S26" s="67">
        <v>7188.2999999999993</v>
      </c>
      <c r="T26" s="67">
        <v>10326.225</v>
      </c>
      <c r="U26" s="67">
        <v>4446.75</v>
      </c>
      <c r="V26" s="67">
        <v>7573.6500000000015</v>
      </c>
      <c r="W26" s="67">
        <v>9709.35</v>
      </c>
      <c r="X26" s="67">
        <v>9595.9500000000007</v>
      </c>
      <c r="Y26" s="67">
        <v>10260.600000000002</v>
      </c>
      <c r="Z26" s="67">
        <v>8896.125</v>
      </c>
      <c r="AA26" s="67">
        <v>5736.15</v>
      </c>
      <c r="AB26" s="67">
        <v>6209.1750000000002</v>
      </c>
      <c r="AC26" s="67">
        <v>5843.25</v>
      </c>
      <c r="AD26" s="67">
        <v>9567.0750000000007</v>
      </c>
      <c r="AE26" s="67">
        <v>9792.3000000000011</v>
      </c>
      <c r="AF26" s="67">
        <v>9648.4500000000007</v>
      </c>
      <c r="AG26" s="68">
        <v>10092.599999999999</v>
      </c>
      <c r="AI26" s="23"/>
      <c r="AJ26" s="13" t="s">
        <v>95</v>
      </c>
      <c r="AK26" s="8"/>
      <c r="AL26" s="8"/>
      <c r="AM26" s="8"/>
      <c r="AN26" s="8"/>
      <c r="AO26" s="8"/>
      <c r="AP26" s="8"/>
      <c r="AQ26" s="8"/>
      <c r="AR26" s="1"/>
      <c r="AS26" s="1"/>
      <c r="AT26" s="1"/>
    </row>
    <row r="27" spans="1:46" x14ac:dyDescent="0.25">
      <c r="A27" s="58">
        <v>9</v>
      </c>
      <c r="B27" s="66">
        <v>5490.45</v>
      </c>
      <c r="C27" s="67">
        <v>5850.6</v>
      </c>
      <c r="D27" s="67">
        <v>6059.5499999999993</v>
      </c>
      <c r="E27" s="67">
        <v>5798.1</v>
      </c>
      <c r="F27" s="67">
        <v>5846.4000000000015</v>
      </c>
      <c r="G27" s="67">
        <v>5893.6500000000015</v>
      </c>
      <c r="H27" s="67">
        <v>3576.3</v>
      </c>
      <c r="I27" s="67">
        <v>3711.75</v>
      </c>
      <c r="J27" s="67">
        <v>3760.05</v>
      </c>
      <c r="K27" s="67">
        <v>4021.4999999999995</v>
      </c>
      <c r="L27" s="67">
        <v>4202.1000000000004</v>
      </c>
      <c r="M27" s="67">
        <v>4264.05</v>
      </c>
      <c r="N27" s="67">
        <v>6606.6</v>
      </c>
      <c r="O27" s="67">
        <v>5539.8</v>
      </c>
      <c r="P27" s="67">
        <v>5751.9000000000005</v>
      </c>
      <c r="Q27" s="67">
        <v>6847.0499999999993</v>
      </c>
      <c r="R27" s="67">
        <v>9624.3000000000011</v>
      </c>
      <c r="S27" s="67">
        <v>7421.4</v>
      </c>
      <c r="T27" s="67">
        <v>10784.55</v>
      </c>
      <c r="U27" s="67">
        <v>4590.6000000000004</v>
      </c>
      <c r="V27" s="67">
        <v>7880.25</v>
      </c>
      <c r="W27" s="67">
        <v>10075.800000000001</v>
      </c>
      <c r="X27" s="67">
        <v>9977.1</v>
      </c>
      <c r="Y27" s="67">
        <v>10655.4</v>
      </c>
      <c r="Z27" s="67">
        <v>9204.3000000000011</v>
      </c>
      <c r="AA27" s="67">
        <v>5944.05</v>
      </c>
      <c r="AB27" s="67">
        <v>6444.9000000000015</v>
      </c>
      <c r="AC27" s="67">
        <v>6057.45</v>
      </c>
      <c r="AD27" s="67">
        <v>9907.8000000000011</v>
      </c>
      <c r="AE27" s="67">
        <v>10208.099999999999</v>
      </c>
      <c r="AF27" s="67">
        <v>10000.200000000001</v>
      </c>
      <c r="AG27" s="68">
        <v>10466.399999999998</v>
      </c>
      <c r="AI27" s="23"/>
      <c r="AJ27" s="8"/>
      <c r="AK27" s="8"/>
      <c r="AL27" s="8"/>
      <c r="AM27" s="8"/>
      <c r="AN27" s="8"/>
      <c r="AO27" s="8"/>
      <c r="AP27" s="8"/>
      <c r="AQ27" s="8"/>
      <c r="AR27" s="1"/>
      <c r="AS27" s="1"/>
      <c r="AT27" s="1"/>
    </row>
    <row r="28" spans="1:46" x14ac:dyDescent="0.25">
      <c r="A28" s="58">
        <v>9.5</v>
      </c>
      <c r="B28" s="66">
        <v>5724.6</v>
      </c>
      <c r="C28" s="67">
        <v>6102.6</v>
      </c>
      <c r="D28" s="67">
        <v>6322.0499999999993</v>
      </c>
      <c r="E28" s="67">
        <v>6054.3</v>
      </c>
      <c r="F28" s="67">
        <v>6103.6500000000015</v>
      </c>
      <c r="G28" s="67">
        <v>6154.05</v>
      </c>
      <c r="H28" s="67">
        <v>3738</v>
      </c>
      <c r="I28" s="67">
        <v>3877.65</v>
      </c>
      <c r="J28" s="67">
        <v>3933.3</v>
      </c>
      <c r="K28" s="67">
        <v>4205.25</v>
      </c>
      <c r="L28" s="67">
        <v>4382.7</v>
      </c>
      <c r="M28" s="67">
        <v>4447.8</v>
      </c>
      <c r="N28" s="67">
        <v>6935.25</v>
      </c>
      <c r="O28" s="67">
        <v>5815.95</v>
      </c>
      <c r="P28" s="67">
        <v>6015.45</v>
      </c>
      <c r="Q28" s="67">
        <v>7154.7000000000007</v>
      </c>
      <c r="R28" s="67">
        <v>9996.5249999999978</v>
      </c>
      <c r="S28" s="67">
        <v>7696.5</v>
      </c>
      <c r="T28" s="67">
        <v>11271.225</v>
      </c>
      <c r="U28" s="67">
        <v>4780.6500000000005</v>
      </c>
      <c r="V28" s="67">
        <v>8221.5</v>
      </c>
      <c r="W28" s="67">
        <v>10486.35</v>
      </c>
      <c r="X28" s="67">
        <v>10400.25</v>
      </c>
      <c r="Y28" s="67">
        <v>11090.100000000002</v>
      </c>
      <c r="Z28" s="67">
        <v>9736.125</v>
      </c>
      <c r="AA28" s="67">
        <v>6213.9</v>
      </c>
      <c r="AB28" s="67">
        <v>6742.5750000000007</v>
      </c>
      <c r="AC28" s="67">
        <v>6333.5999999999995</v>
      </c>
      <c r="AD28" s="67">
        <v>10306.275000000001</v>
      </c>
      <c r="AE28" s="67">
        <v>10673.25</v>
      </c>
      <c r="AF28" s="67">
        <v>10417.049999999999</v>
      </c>
      <c r="AG28" s="68">
        <v>10901.1</v>
      </c>
      <c r="AI28" s="22" t="s">
        <v>25</v>
      </c>
      <c r="AJ28" t="s">
        <v>96</v>
      </c>
      <c r="AK28" s="18"/>
      <c r="AL28" s="19"/>
      <c r="AM28" s="5"/>
      <c r="AN28" s="5"/>
      <c r="AO28" s="5"/>
      <c r="AP28" s="8"/>
      <c r="AQ28" s="8"/>
      <c r="AR28" s="1"/>
      <c r="AS28" s="1"/>
      <c r="AT28" s="1"/>
    </row>
    <row r="29" spans="1:46" x14ac:dyDescent="0.25">
      <c r="A29" s="58">
        <v>10</v>
      </c>
      <c r="B29" s="66">
        <v>5916.7500000000009</v>
      </c>
      <c r="C29" s="67">
        <v>6313.6500000000015</v>
      </c>
      <c r="D29" s="67">
        <v>6541.5</v>
      </c>
      <c r="E29" s="67">
        <v>6259.05</v>
      </c>
      <c r="F29" s="67">
        <v>6310.5000000000009</v>
      </c>
      <c r="G29" s="67">
        <v>6361.95</v>
      </c>
      <c r="H29" s="67">
        <v>3868.2</v>
      </c>
      <c r="I29" s="67">
        <v>4014.1499999999996</v>
      </c>
      <c r="J29" s="67">
        <v>4065.6000000000004</v>
      </c>
      <c r="K29" s="67">
        <v>4347</v>
      </c>
      <c r="L29" s="67">
        <v>4534.95</v>
      </c>
      <c r="M29" s="67">
        <v>4602.1500000000005</v>
      </c>
      <c r="N29" s="67">
        <v>7222.9500000000007</v>
      </c>
      <c r="O29" s="67">
        <v>6060.6</v>
      </c>
      <c r="P29" s="67">
        <v>6742.0499999999993</v>
      </c>
      <c r="Q29" s="67">
        <v>7486.5</v>
      </c>
      <c r="R29" s="67">
        <v>10348.800000000003</v>
      </c>
      <c r="S29" s="67">
        <v>7930.6500000000005</v>
      </c>
      <c r="T29" s="67">
        <v>11716.95</v>
      </c>
      <c r="U29" s="67">
        <v>4927.6500000000005</v>
      </c>
      <c r="V29" s="67">
        <v>8527.0499999999993</v>
      </c>
      <c r="W29" s="67">
        <v>10851.75</v>
      </c>
      <c r="X29" s="67">
        <v>10782.450000000003</v>
      </c>
      <c r="Y29" s="67">
        <v>11482.800000000001</v>
      </c>
      <c r="Z29" s="67">
        <v>10043.249999999998</v>
      </c>
      <c r="AA29" s="67">
        <v>6420.75</v>
      </c>
      <c r="AB29" s="67">
        <v>6977.25</v>
      </c>
      <c r="AC29" s="67">
        <v>6546.7500000000009</v>
      </c>
      <c r="AD29" s="67">
        <v>10663.8</v>
      </c>
      <c r="AE29" s="67">
        <v>11076.45</v>
      </c>
      <c r="AF29" s="67">
        <v>10767.75</v>
      </c>
      <c r="AG29" s="68">
        <v>11272.800000000003</v>
      </c>
      <c r="AI29" s="23"/>
      <c r="AJ29" s="8"/>
      <c r="AK29" s="8"/>
      <c r="AL29" s="8"/>
      <c r="AM29" s="8"/>
      <c r="AN29" s="8"/>
      <c r="AO29" s="8"/>
      <c r="AP29" s="5"/>
      <c r="AQ29" s="5"/>
      <c r="AR29" s="1"/>
      <c r="AS29" s="1"/>
      <c r="AT29" s="1"/>
    </row>
    <row r="30" spans="1:46" x14ac:dyDescent="0.25">
      <c r="A30" s="58">
        <v>10.5</v>
      </c>
      <c r="B30" s="66">
        <v>6138.2999999999993</v>
      </c>
      <c r="C30" s="67">
        <v>6553.05</v>
      </c>
      <c r="D30" s="67">
        <v>6791.4</v>
      </c>
      <c r="E30" s="67">
        <v>6161.4</v>
      </c>
      <c r="F30" s="67">
        <v>6211.8</v>
      </c>
      <c r="G30" s="67">
        <v>6262.2</v>
      </c>
      <c r="H30" s="67">
        <v>4064.55</v>
      </c>
      <c r="I30" s="67">
        <v>4216.7999999999993</v>
      </c>
      <c r="J30" s="67">
        <v>4303.95</v>
      </c>
      <c r="K30" s="67">
        <v>4564.3500000000004</v>
      </c>
      <c r="L30" s="67">
        <v>4758.6000000000004</v>
      </c>
      <c r="M30" s="67">
        <v>4828.95</v>
      </c>
      <c r="N30" s="67">
        <v>7441.35</v>
      </c>
      <c r="O30" s="67">
        <v>6270.6</v>
      </c>
      <c r="P30" s="67">
        <v>7014</v>
      </c>
      <c r="Q30" s="67">
        <v>7861.35</v>
      </c>
      <c r="R30" s="67">
        <v>10778.775</v>
      </c>
      <c r="S30" s="67">
        <v>8166.9000000000005</v>
      </c>
      <c r="T30" s="67">
        <v>12181.574999999999</v>
      </c>
      <c r="U30" s="67">
        <v>4933.95</v>
      </c>
      <c r="V30" s="67">
        <v>9871.0500000000011</v>
      </c>
      <c r="W30" s="67">
        <v>11877.6</v>
      </c>
      <c r="X30" s="67">
        <v>11104.8</v>
      </c>
      <c r="Y30" s="67">
        <v>11894.4</v>
      </c>
      <c r="Z30" s="67">
        <v>10562.475</v>
      </c>
      <c r="AA30" s="67">
        <v>6678.0000000000009</v>
      </c>
      <c r="AB30" s="67">
        <v>7262.3250000000007</v>
      </c>
      <c r="AC30" s="67">
        <v>6810.3</v>
      </c>
      <c r="AD30" s="67">
        <v>11120.025</v>
      </c>
      <c r="AE30" s="67">
        <v>11519.550000000001</v>
      </c>
      <c r="AF30" s="67">
        <v>11799.9</v>
      </c>
      <c r="AG30" s="68">
        <v>11684.4</v>
      </c>
      <c r="AI30" s="22" t="s">
        <v>26</v>
      </c>
      <c r="AJ30" t="s">
        <v>99</v>
      </c>
      <c r="AK30" s="1"/>
      <c r="AL30" s="1"/>
      <c r="AM30" s="5"/>
      <c r="AN30" s="5"/>
      <c r="AO30" s="5"/>
      <c r="AP30" s="5"/>
      <c r="AQ30" s="5"/>
      <c r="AR30" s="1"/>
      <c r="AS30" s="1"/>
      <c r="AT30" s="1"/>
    </row>
    <row r="31" spans="1:46" x14ac:dyDescent="0.25">
      <c r="A31" s="58">
        <v>11</v>
      </c>
      <c r="B31" s="66">
        <v>6317.85</v>
      </c>
      <c r="C31" s="67">
        <v>6750.4500000000007</v>
      </c>
      <c r="D31" s="67">
        <v>6998.25</v>
      </c>
      <c r="E31" s="67">
        <v>6376.6500000000005</v>
      </c>
      <c r="F31" s="67">
        <v>6428.1</v>
      </c>
      <c r="G31" s="67">
        <v>6479.5499999999993</v>
      </c>
      <c r="H31" s="67">
        <v>4225.2</v>
      </c>
      <c r="I31" s="67">
        <v>4383.75</v>
      </c>
      <c r="J31" s="67">
        <v>4474.05</v>
      </c>
      <c r="K31" s="67">
        <v>4746</v>
      </c>
      <c r="L31" s="67">
        <v>4952.8500000000004</v>
      </c>
      <c r="M31" s="67">
        <v>5026.3500000000004</v>
      </c>
      <c r="N31" s="67">
        <v>7614.6000000000013</v>
      </c>
      <c r="O31" s="67">
        <v>6439.6500000000005</v>
      </c>
      <c r="P31" s="67">
        <v>7238.7000000000007</v>
      </c>
      <c r="Q31" s="67">
        <v>8107.0499999999993</v>
      </c>
      <c r="R31" s="67">
        <v>11174.1</v>
      </c>
      <c r="S31" s="67">
        <v>8347.5</v>
      </c>
      <c r="T31" s="67">
        <v>12606.300000000001</v>
      </c>
      <c r="U31" s="67">
        <v>5082</v>
      </c>
      <c r="V31" s="67">
        <v>10129.35</v>
      </c>
      <c r="W31" s="67">
        <v>12266.1</v>
      </c>
      <c r="X31" s="67">
        <v>11389.350000000002</v>
      </c>
      <c r="Y31" s="67">
        <v>12262.95</v>
      </c>
      <c r="Z31" s="67">
        <v>10857</v>
      </c>
      <c r="AA31" s="67">
        <v>6872.25</v>
      </c>
      <c r="AB31" s="67">
        <v>7484.4000000000005</v>
      </c>
      <c r="AC31" s="67">
        <v>7010.8500000000013</v>
      </c>
      <c r="AD31" s="67">
        <v>11520.599999999999</v>
      </c>
      <c r="AE31" s="67">
        <v>11901.75</v>
      </c>
      <c r="AF31" s="67">
        <v>12173.7</v>
      </c>
      <c r="AG31" s="68">
        <v>12031.95</v>
      </c>
      <c r="AI31" s="7"/>
      <c r="AJ31" s="10" t="s">
        <v>101</v>
      </c>
      <c r="AK31" s="1"/>
      <c r="AL31" s="1"/>
      <c r="AM31" s="1"/>
      <c r="AN31" s="1"/>
      <c r="AO31" s="1"/>
      <c r="AP31" s="1"/>
      <c r="AQ31" s="1"/>
      <c r="AR31" s="1"/>
      <c r="AS31" s="1"/>
      <c r="AT31" s="1"/>
    </row>
    <row r="32" spans="1:46" x14ac:dyDescent="0.25">
      <c r="A32" s="58">
        <v>11.5</v>
      </c>
      <c r="B32" s="66">
        <v>6538.3500000000013</v>
      </c>
      <c r="C32" s="67">
        <v>6989.8499999999995</v>
      </c>
      <c r="D32" s="67">
        <v>7247.1000000000013</v>
      </c>
      <c r="E32" s="67">
        <v>6632.85</v>
      </c>
      <c r="F32" s="67">
        <v>6687.4500000000007</v>
      </c>
      <c r="G32" s="67">
        <v>6741</v>
      </c>
      <c r="H32" s="67">
        <v>4414.2</v>
      </c>
      <c r="I32" s="67">
        <v>4579.05</v>
      </c>
      <c r="J32" s="67">
        <v>4677.75</v>
      </c>
      <c r="K32" s="67">
        <v>4961.2499999999991</v>
      </c>
      <c r="L32" s="67">
        <v>5177.55</v>
      </c>
      <c r="M32" s="67">
        <v>5254.2</v>
      </c>
      <c r="N32" s="67">
        <v>7831.9500000000007</v>
      </c>
      <c r="O32" s="67">
        <v>6652.8</v>
      </c>
      <c r="P32" s="67">
        <v>7506.4500000000016</v>
      </c>
      <c r="Q32" s="67">
        <v>8394.75</v>
      </c>
      <c r="R32" s="67">
        <v>11549.474999999999</v>
      </c>
      <c r="S32" s="67">
        <v>8570.1</v>
      </c>
      <c r="T32" s="67">
        <v>13066.725</v>
      </c>
      <c r="U32" s="67">
        <v>5275.2000000000007</v>
      </c>
      <c r="V32" s="67">
        <v>10421.25</v>
      </c>
      <c r="W32" s="67">
        <v>12696.599999999999</v>
      </c>
      <c r="X32" s="67">
        <v>11713.800000000001</v>
      </c>
      <c r="Y32" s="67">
        <v>12672.45</v>
      </c>
      <c r="Z32" s="67">
        <v>11375.175000000001</v>
      </c>
      <c r="AA32" s="67">
        <v>7128.4500000000007</v>
      </c>
      <c r="AB32" s="67">
        <v>7768.4250000000002</v>
      </c>
      <c r="AC32" s="67">
        <v>7273.3500000000013</v>
      </c>
      <c r="AD32" s="67">
        <v>11922.224999999999</v>
      </c>
      <c r="AE32" s="67">
        <v>12340.65</v>
      </c>
      <c r="AF32" s="67">
        <v>12610.5</v>
      </c>
      <c r="AG32" s="68">
        <v>12441.45</v>
      </c>
      <c r="AI32" s="7"/>
      <c r="AJ32" s="1"/>
      <c r="AK32" s="1"/>
      <c r="AL32" s="1"/>
      <c r="AM32" s="1"/>
      <c r="AN32" s="1"/>
      <c r="AO32" s="1"/>
      <c r="AP32" s="1"/>
      <c r="AQ32" s="1"/>
      <c r="AR32" s="1"/>
      <c r="AS32" s="1"/>
      <c r="AT32" s="1"/>
    </row>
    <row r="33" spans="1:46" x14ac:dyDescent="0.25">
      <c r="A33" s="58">
        <v>12</v>
      </c>
      <c r="B33" s="66">
        <v>6718.9500000000016</v>
      </c>
      <c r="C33" s="67">
        <v>7187.25</v>
      </c>
      <c r="D33" s="67">
        <v>7455</v>
      </c>
      <c r="E33" s="67">
        <v>6842.85</v>
      </c>
      <c r="F33" s="67">
        <v>6898.5</v>
      </c>
      <c r="G33" s="67">
        <v>6954.1500000000005</v>
      </c>
      <c r="H33" s="67">
        <v>4575.9000000000005</v>
      </c>
      <c r="I33" s="67">
        <v>4748.1000000000004</v>
      </c>
      <c r="J33" s="67">
        <v>4847.8500000000004</v>
      </c>
      <c r="K33" s="67">
        <v>5142.9000000000005</v>
      </c>
      <c r="L33" s="67">
        <v>5366.5500000000011</v>
      </c>
      <c r="M33" s="67">
        <v>5446.35</v>
      </c>
      <c r="N33" s="67">
        <v>8008.3500000000013</v>
      </c>
      <c r="O33" s="67">
        <v>6828.1500000000005</v>
      </c>
      <c r="P33" s="67">
        <v>7732.2000000000007</v>
      </c>
      <c r="Q33" s="67">
        <v>8638.35</v>
      </c>
      <c r="R33" s="67">
        <v>11880.75</v>
      </c>
      <c r="S33" s="67">
        <v>8754.9</v>
      </c>
      <c r="T33" s="67">
        <v>13488.300000000001</v>
      </c>
      <c r="U33" s="67">
        <v>5434.8</v>
      </c>
      <c r="V33" s="67">
        <v>10675.35</v>
      </c>
      <c r="W33" s="67">
        <v>13080.900000000001</v>
      </c>
      <c r="X33" s="67">
        <v>11997.300000000003</v>
      </c>
      <c r="Y33" s="67">
        <v>13042.050000000001</v>
      </c>
      <c r="Z33" s="67">
        <v>11670.75</v>
      </c>
      <c r="AA33" s="67">
        <v>7323.75</v>
      </c>
      <c r="AB33" s="67">
        <v>7991.55</v>
      </c>
      <c r="AC33" s="67">
        <v>7474.9500000000007</v>
      </c>
      <c r="AD33" s="67">
        <v>12258.75</v>
      </c>
      <c r="AE33" s="67">
        <v>12719.699999999999</v>
      </c>
      <c r="AF33" s="67">
        <v>12980.1</v>
      </c>
      <c r="AG33" s="68">
        <v>12790.050000000001</v>
      </c>
      <c r="AI33" s="22" t="s">
        <v>104</v>
      </c>
      <c r="AJ33" t="s">
        <v>105</v>
      </c>
      <c r="AK33" s="1"/>
      <c r="AL33" s="1"/>
      <c r="AM33" s="5"/>
      <c r="AN33" s="5"/>
      <c r="AO33" s="5"/>
      <c r="AP33" s="5"/>
      <c r="AQ33" s="5"/>
      <c r="AR33" s="1"/>
      <c r="AS33" s="1"/>
      <c r="AT33" s="1"/>
    </row>
    <row r="34" spans="1:46" x14ac:dyDescent="0.25">
      <c r="A34" s="58">
        <v>12.5</v>
      </c>
      <c r="B34" s="66">
        <v>6940.5000000000009</v>
      </c>
      <c r="C34" s="67">
        <v>7426.6500000000005</v>
      </c>
      <c r="D34" s="67">
        <v>7703.85</v>
      </c>
      <c r="E34" s="67">
        <v>7102.2000000000007</v>
      </c>
      <c r="F34" s="67">
        <v>7159.9500000000007</v>
      </c>
      <c r="G34" s="67">
        <v>7216.6500000000005</v>
      </c>
      <c r="H34" s="67">
        <v>4773.3</v>
      </c>
      <c r="I34" s="67">
        <v>4951.8</v>
      </c>
      <c r="J34" s="67">
        <v>5053.6500000000005</v>
      </c>
      <c r="K34" s="67">
        <v>5360.2499999999991</v>
      </c>
      <c r="L34" s="67">
        <v>5595.45</v>
      </c>
      <c r="M34" s="67">
        <v>5678.4000000000005</v>
      </c>
      <c r="N34" s="67">
        <v>8226.75</v>
      </c>
      <c r="O34" s="67">
        <v>7042.3499999999995</v>
      </c>
      <c r="P34" s="67">
        <v>8001</v>
      </c>
      <c r="Q34" s="67">
        <v>8977.5</v>
      </c>
      <c r="R34" s="67">
        <v>12227.775</v>
      </c>
      <c r="S34" s="67">
        <v>8976.4500000000007</v>
      </c>
      <c r="T34" s="67">
        <v>13951.875</v>
      </c>
      <c r="U34" s="67">
        <v>5619.5999999999995</v>
      </c>
      <c r="V34" s="67">
        <v>10980.9</v>
      </c>
      <c r="W34" s="67">
        <v>13511.400000000001</v>
      </c>
      <c r="X34" s="67">
        <v>12322.8</v>
      </c>
      <c r="Y34" s="67">
        <v>13452.6</v>
      </c>
      <c r="Z34" s="67">
        <v>12189.975</v>
      </c>
      <c r="AA34" s="67">
        <v>7581</v>
      </c>
      <c r="AB34" s="67">
        <v>8276.625</v>
      </c>
      <c r="AC34" s="67">
        <v>7738.5</v>
      </c>
      <c r="AD34" s="67">
        <v>12632.025</v>
      </c>
      <c r="AE34" s="67">
        <v>13161.75</v>
      </c>
      <c r="AF34" s="67">
        <v>13416.900000000001</v>
      </c>
      <c r="AG34" s="68">
        <v>13200.6</v>
      </c>
      <c r="AI34" s="22" t="s">
        <v>107</v>
      </c>
      <c r="AJ34" t="s">
        <v>108</v>
      </c>
      <c r="AK34" s="5"/>
      <c r="AL34" s="5"/>
      <c r="AM34" s="5"/>
      <c r="AN34" s="5"/>
      <c r="AO34" s="5"/>
      <c r="AP34" s="5"/>
      <c r="AQ34" s="5"/>
      <c r="AR34" s="1"/>
      <c r="AS34" s="1"/>
      <c r="AT34" s="1"/>
    </row>
    <row r="35" spans="1:46" x14ac:dyDescent="0.25">
      <c r="A35" s="58">
        <v>13</v>
      </c>
      <c r="B35" s="66">
        <v>7119</v>
      </c>
      <c r="C35" s="67">
        <v>7624.05</v>
      </c>
      <c r="D35" s="67">
        <v>7910.7000000000007</v>
      </c>
      <c r="E35" s="67">
        <v>7299.6000000000013</v>
      </c>
      <c r="F35" s="67">
        <v>7358.4000000000005</v>
      </c>
      <c r="G35" s="67">
        <v>7418.25</v>
      </c>
      <c r="H35" s="67">
        <v>4933.95</v>
      </c>
      <c r="I35" s="67">
        <v>5118.75</v>
      </c>
      <c r="J35" s="67">
        <v>5219.55</v>
      </c>
      <c r="K35" s="67">
        <v>5536.65</v>
      </c>
      <c r="L35" s="67">
        <v>5782.35</v>
      </c>
      <c r="M35" s="67">
        <v>5867.4000000000015</v>
      </c>
      <c r="N35" s="67">
        <v>8402.1000000000022</v>
      </c>
      <c r="O35" s="67">
        <v>7220.8500000000013</v>
      </c>
      <c r="P35" s="67">
        <v>8218.3500000000022</v>
      </c>
      <c r="Q35" s="67">
        <v>9222.15</v>
      </c>
      <c r="R35" s="67">
        <v>12529.65</v>
      </c>
      <c r="S35" s="67">
        <v>9160.2000000000007</v>
      </c>
      <c r="T35" s="67">
        <v>14364</v>
      </c>
      <c r="U35" s="67">
        <v>5776.05</v>
      </c>
      <c r="V35" s="67">
        <v>11291.7</v>
      </c>
      <c r="W35" s="67">
        <v>13902</v>
      </c>
      <c r="X35" s="67">
        <v>12666.15</v>
      </c>
      <c r="Y35" s="67">
        <v>13820.1</v>
      </c>
      <c r="Z35" s="67">
        <v>12483.449999999999</v>
      </c>
      <c r="AA35" s="67">
        <v>7774.2000000000007</v>
      </c>
      <c r="AB35" s="67">
        <v>8497.65</v>
      </c>
      <c r="AC35" s="67">
        <v>7937.9999999999991</v>
      </c>
      <c r="AD35" s="67">
        <v>12939.150000000003</v>
      </c>
      <c r="AE35" s="67">
        <v>13531.35</v>
      </c>
      <c r="AF35" s="67">
        <v>13792.8</v>
      </c>
      <c r="AG35" s="68">
        <v>13547.1</v>
      </c>
      <c r="AI35" s="22" t="s">
        <v>110</v>
      </c>
      <c r="AJ35" t="s">
        <v>111</v>
      </c>
      <c r="AK35" s="5"/>
      <c r="AL35" s="5"/>
      <c r="AM35" s="5"/>
      <c r="AN35" s="5"/>
      <c r="AO35" s="5"/>
      <c r="AP35" s="5"/>
      <c r="AQ35" s="5"/>
      <c r="AR35" s="1"/>
      <c r="AS35" s="1"/>
      <c r="AT35" s="1"/>
    </row>
    <row r="36" spans="1:46" x14ac:dyDescent="0.25">
      <c r="A36" s="58">
        <v>13.5</v>
      </c>
      <c r="B36" s="66">
        <v>7340.55</v>
      </c>
      <c r="C36" s="67">
        <v>7863.4500000000007</v>
      </c>
      <c r="D36" s="67">
        <v>8159.5499999999993</v>
      </c>
      <c r="E36" s="67">
        <v>7539</v>
      </c>
      <c r="F36" s="67">
        <v>7599.9000000000015</v>
      </c>
      <c r="G36" s="67">
        <v>7660.7999999999993</v>
      </c>
      <c r="H36" s="67">
        <v>5128.2</v>
      </c>
      <c r="I36" s="67">
        <v>5319.3</v>
      </c>
      <c r="J36" s="67">
        <v>5429.55</v>
      </c>
      <c r="K36" s="67">
        <v>5758.2</v>
      </c>
      <c r="L36" s="67">
        <v>6007.0499999999993</v>
      </c>
      <c r="M36" s="67">
        <v>6096.3</v>
      </c>
      <c r="N36" s="67">
        <v>8619.4500000000007</v>
      </c>
      <c r="O36" s="67">
        <v>7443.4500000000007</v>
      </c>
      <c r="P36" s="67">
        <v>8479.8000000000011</v>
      </c>
      <c r="Q36" s="67">
        <v>9509.85</v>
      </c>
      <c r="R36" s="67">
        <v>12872.475</v>
      </c>
      <c r="S36" s="67">
        <v>9381.75</v>
      </c>
      <c r="T36" s="67">
        <v>14814.975</v>
      </c>
      <c r="U36" s="67">
        <v>5973.45</v>
      </c>
      <c r="V36" s="67">
        <v>11637.15</v>
      </c>
      <c r="W36" s="67">
        <v>14334.6</v>
      </c>
      <c r="X36" s="67">
        <v>13052.550000000001</v>
      </c>
      <c r="Y36" s="67">
        <v>14230.650000000001</v>
      </c>
      <c r="Z36" s="67">
        <v>13002.675000000001</v>
      </c>
      <c r="AA36" s="67">
        <v>8031.4500000000016</v>
      </c>
      <c r="AB36" s="67">
        <v>8782.7250000000004</v>
      </c>
      <c r="AC36" s="67">
        <v>8201.5500000000011</v>
      </c>
      <c r="AD36" s="67">
        <v>13308.225</v>
      </c>
      <c r="AE36" s="67">
        <v>13960.800000000001</v>
      </c>
      <c r="AF36" s="67">
        <v>14231.700000000003</v>
      </c>
      <c r="AG36" s="68">
        <v>13957.650000000001</v>
      </c>
      <c r="AI36" s="24"/>
      <c r="AJ36" s="10" t="s">
        <v>113</v>
      </c>
      <c r="AK36" s="5"/>
      <c r="AL36" s="5"/>
      <c r="AM36" s="5"/>
      <c r="AN36" s="5"/>
      <c r="AO36" s="5"/>
      <c r="AP36" s="5"/>
      <c r="AQ36" s="5"/>
      <c r="AR36" s="1"/>
      <c r="AS36" s="1"/>
      <c r="AT36" s="1"/>
    </row>
    <row r="37" spans="1:46" x14ac:dyDescent="0.25">
      <c r="A37" s="58">
        <v>14</v>
      </c>
      <c r="B37" s="66">
        <v>7520.1</v>
      </c>
      <c r="C37" s="67">
        <v>8060.8500000000013</v>
      </c>
      <c r="D37" s="67">
        <v>8367.4500000000007</v>
      </c>
      <c r="E37" s="67">
        <v>7738.5</v>
      </c>
      <c r="F37" s="67">
        <v>7801.5</v>
      </c>
      <c r="G37" s="67">
        <v>7863.4500000000007</v>
      </c>
      <c r="H37" s="67">
        <v>5285.7</v>
      </c>
      <c r="I37" s="67">
        <v>5484.1500000000005</v>
      </c>
      <c r="J37" s="67">
        <v>5599.6500000000005</v>
      </c>
      <c r="K37" s="67">
        <v>5938.8</v>
      </c>
      <c r="L37" s="67">
        <v>6198.1500000000005</v>
      </c>
      <c r="M37" s="67">
        <v>6289.5</v>
      </c>
      <c r="N37" s="67">
        <v>8793.75</v>
      </c>
      <c r="O37" s="67">
        <v>7624.05</v>
      </c>
      <c r="P37" s="67">
        <v>8705.5500000000011</v>
      </c>
      <c r="Q37" s="67">
        <v>9758.7000000000007</v>
      </c>
      <c r="R37" s="67">
        <v>13180.650000000001</v>
      </c>
      <c r="S37" s="67">
        <v>9558.15</v>
      </c>
      <c r="T37" s="67">
        <v>15235.5</v>
      </c>
      <c r="U37" s="67">
        <v>6122.55</v>
      </c>
      <c r="V37" s="67">
        <v>11942.7</v>
      </c>
      <c r="W37" s="67">
        <v>14720.999999999998</v>
      </c>
      <c r="X37" s="67">
        <v>13398</v>
      </c>
      <c r="Y37" s="67">
        <v>14599.200000000003</v>
      </c>
      <c r="Z37" s="67">
        <v>13297.199999999999</v>
      </c>
      <c r="AA37" s="67">
        <v>8225.7000000000007</v>
      </c>
      <c r="AB37" s="67">
        <v>9004.8000000000011</v>
      </c>
      <c r="AC37" s="67">
        <v>8402.1000000000022</v>
      </c>
      <c r="AD37" s="67">
        <v>13621.650000000003</v>
      </c>
      <c r="AE37" s="67">
        <v>14338.800000000001</v>
      </c>
      <c r="AF37" s="67">
        <v>14603.400000000001</v>
      </c>
      <c r="AG37" s="68">
        <v>14305.2</v>
      </c>
      <c r="AI37" s="24"/>
      <c r="AJ37" s="10" t="s">
        <v>114</v>
      </c>
      <c r="AK37" s="5"/>
      <c r="AL37" s="5"/>
      <c r="AM37" s="5"/>
      <c r="AN37" s="5"/>
      <c r="AO37" s="5"/>
      <c r="AP37" s="5"/>
      <c r="AQ37" s="5"/>
      <c r="AR37" s="1"/>
      <c r="AS37" s="1"/>
      <c r="AT37" s="1"/>
    </row>
    <row r="38" spans="1:46" x14ac:dyDescent="0.25">
      <c r="A38" s="58">
        <v>14.5</v>
      </c>
      <c r="B38" s="66">
        <v>7740.6</v>
      </c>
      <c r="C38" s="67">
        <v>8300.25</v>
      </c>
      <c r="D38" s="67">
        <v>8616.3000000000011</v>
      </c>
      <c r="E38" s="67">
        <v>7978.9500000000016</v>
      </c>
      <c r="F38" s="67">
        <v>8042.9999999999991</v>
      </c>
      <c r="G38" s="67">
        <v>8108.1</v>
      </c>
      <c r="H38" s="67">
        <v>5479.95</v>
      </c>
      <c r="I38" s="67">
        <v>5684.6999999999989</v>
      </c>
      <c r="J38" s="67">
        <v>5804.4000000000015</v>
      </c>
      <c r="K38" s="67">
        <v>6155.1</v>
      </c>
      <c r="L38" s="67">
        <v>6420.75</v>
      </c>
      <c r="M38" s="67">
        <v>6515.25</v>
      </c>
      <c r="N38" s="67">
        <v>9012.15</v>
      </c>
      <c r="O38" s="67">
        <v>7847.7000000000016</v>
      </c>
      <c r="P38" s="67">
        <v>8967</v>
      </c>
      <c r="Q38" s="67">
        <v>10154.550000000001</v>
      </c>
      <c r="R38" s="67">
        <v>13522.425000000001</v>
      </c>
      <c r="S38" s="67">
        <v>9773.4</v>
      </c>
      <c r="T38" s="67">
        <v>15692.775000000001</v>
      </c>
      <c r="U38" s="67">
        <v>6316.8</v>
      </c>
      <c r="V38" s="67">
        <v>12308.1</v>
      </c>
      <c r="W38" s="67">
        <v>15149.400000000001</v>
      </c>
      <c r="X38" s="67">
        <v>13785.450000000003</v>
      </c>
      <c r="Y38" s="67">
        <v>15008.7</v>
      </c>
      <c r="Z38" s="67">
        <v>13815.375000000002</v>
      </c>
      <c r="AA38" s="67">
        <v>8481.9</v>
      </c>
      <c r="AB38" s="67">
        <v>9288.8250000000007</v>
      </c>
      <c r="AC38" s="67">
        <v>8664.6</v>
      </c>
      <c r="AD38" s="67">
        <v>13989.674999999999</v>
      </c>
      <c r="AE38" s="67">
        <v>14774.550000000001</v>
      </c>
      <c r="AF38" s="67">
        <v>15038.1</v>
      </c>
      <c r="AG38" s="68">
        <v>14714.699999999999</v>
      </c>
      <c r="AR38" s="1"/>
      <c r="AS38" s="1"/>
      <c r="AT38" s="1"/>
    </row>
    <row r="39" spans="1:46" x14ac:dyDescent="0.25">
      <c r="A39" s="58">
        <v>15</v>
      </c>
      <c r="B39" s="66">
        <v>7921.2000000000007</v>
      </c>
      <c r="C39" s="67">
        <v>8498.7000000000007</v>
      </c>
      <c r="D39" s="67">
        <v>8824.2000000000007</v>
      </c>
      <c r="E39" s="67">
        <v>8185.7999999999993</v>
      </c>
      <c r="F39" s="67">
        <v>8251.9500000000007</v>
      </c>
      <c r="G39" s="67">
        <v>8318.1</v>
      </c>
      <c r="H39" s="67">
        <v>5637.45</v>
      </c>
      <c r="I39" s="67">
        <v>5848.5000000000009</v>
      </c>
      <c r="J39" s="67">
        <v>5968.2</v>
      </c>
      <c r="K39" s="67">
        <v>6329.4000000000005</v>
      </c>
      <c r="L39" s="67">
        <v>6609.75</v>
      </c>
      <c r="M39" s="67">
        <v>6707.4000000000015</v>
      </c>
      <c r="N39" s="67">
        <v>9189.6</v>
      </c>
      <c r="O39" s="67">
        <v>8033.55</v>
      </c>
      <c r="P39" s="67">
        <v>9183.3000000000011</v>
      </c>
      <c r="Q39" s="67">
        <v>10438.050000000001</v>
      </c>
      <c r="R39" s="67">
        <v>13825.349999999999</v>
      </c>
      <c r="S39" s="67">
        <v>9951.9</v>
      </c>
      <c r="T39" s="67">
        <v>16101.75</v>
      </c>
      <c r="U39" s="67">
        <v>6468.0000000000009</v>
      </c>
      <c r="V39" s="67">
        <v>12618.9</v>
      </c>
      <c r="W39" s="67">
        <v>15537.900000000003</v>
      </c>
      <c r="X39" s="67">
        <v>14127.75</v>
      </c>
      <c r="Y39" s="67">
        <v>15379.35</v>
      </c>
      <c r="Z39" s="67">
        <v>14110.949999999999</v>
      </c>
      <c r="AA39" s="67">
        <v>8677.2000000000007</v>
      </c>
      <c r="AB39" s="67">
        <v>9511.9500000000007</v>
      </c>
      <c r="AC39" s="67">
        <v>8866.2000000000007</v>
      </c>
      <c r="AD39" s="67">
        <v>14297.849999999999</v>
      </c>
      <c r="AE39" s="67">
        <v>15140.999999999998</v>
      </c>
      <c r="AF39" s="67">
        <v>15411.900000000001</v>
      </c>
      <c r="AG39" s="68">
        <v>15064.35</v>
      </c>
      <c r="AR39" s="1"/>
      <c r="AS39" s="1"/>
      <c r="AT39" s="1"/>
    </row>
    <row r="40" spans="1:46" x14ac:dyDescent="0.25">
      <c r="A40" s="58">
        <v>15.5</v>
      </c>
      <c r="B40" s="66">
        <v>8141.7000000000007</v>
      </c>
      <c r="C40" s="67">
        <v>8737.0500000000011</v>
      </c>
      <c r="D40" s="67">
        <v>9072</v>
      </c>
      <c r="E40" s="67">
        <v>9168.6</v>
      </c>
      <c r="F40" s="67">
        <v>9243.15</v>
      </c>
      <c r="G40" s="67">
        <v>9317.7000000000007</v>
      </c>
      <c r="H40" s="67">
        <v>6222.3</v>
      </c>
      <c r="I40" s="67">
        <v>6609.75</v>
      </c>
      <c r="J40" s="67">
        <v>6638.1</v>
      </c>
      <c r="K40" s="67">
        <v>6844.9500000000007</v>
      </c>
      <c r="L40" s="67">
        <v>7307.9999999999991</v>
      </c>
      <c r="M40" s="67">
        <v>7587.3</v>
      </c>
      <c r="N40" s="67">
        <v>10327.800000000003</v>
      </c>
      <c r="O40" s="67">
        <v>9047.85</v>
      </c>
      <c r="P40" s="67">
        <v>10426.500000000002</v>
      </c>
      <c r="Q40" s="67">
        <v>11844</v>
      </c>
      <c r="R40" s="67">
        <v>15239.175000000003</v>
      </c>
      <c r="S40" s="67">
        <v>11171.999999999998</v>
      </c>
      <c r="T40" s="67">
        <v>17903.025000000001</v>
      </c>
      <c r="U40" s="67">
        <v>7262.85</v>
      </c>
      <c r="V40" s="67">
        <v>14270.550000000001</v>
      </c>
      <c r="W40" s="67">
        <v>17569.650000000001</v>
      </c>
      <c r="X40" s="67">
        <v>14514.150000000003</v>
      </c>
      <c r="Y40" s="67">
        <v>15787.8</v>
      </c>
      <c r="Z40" s="67">
        <v>14629.124999999998</v>
      </c>
      <c r="AA40" s="67">
        <v>8933.4</v>
      </c>
      <c r="AB40" s="67">
        <v>9795.9750000000004</v>
      </c>
      <c r="AC40" s="67">
        <v>9128.7000000000007</v>
      </c>
      <c r="AD40" s="67">
        <v>15737.925000000003</v>
      </c>
      <c r="AE40" s="67">
        <v>16920.75</v>
      </c>
      <c r="AF40" s="67">
        <v>17449.95</v>
      </c>
      <c r="AG40" s="68">
        <v>15472.8</v>
      </c>
      <c r="AR40" s="1"/>
      <c r="AS40" s="1"/>
      <c r="AT40" s="1"/>
    </row>
    <row r="41" spans="1:46" x14ac:dyDescent="0.25">
      <c r="A41" s="58">
        <v>16</v>
      </c>
      <c r="B41" s="66">
        <v>8321.25</v>
      </c>
      <c r="C41" s="67">
        <v>8934.4500000000007</v>
      </c>
      <c r="D41" s="67">
        <v>9279.9</v>
      </c>
      <c r="E41" s="67">
        <v>9361.8000000000011</v>
      </c>
      <c r="F41" s="67">
        <v>9438.4500000000007</v>
      </c>
      <c r="G41" s="67">
        <v>9515.1</v>
      </c>
      <c r="H41" s="67">
        <v>6388.2</v>
      </c>
      <c r="I41" s="67">
        <v>6787.2000000000007</v>
      </c>
      <c r="J41" s="67">
        <v>6822.9000000000005</v>
      </c>
      <c r="K41" s="67">
        <v>7036.05</v>
      </c>
      <c r="L41" s="67">
        <v>7515.9000000000005</v>
      </c>
      <c r="M41" s="67">
        <v>7804.6500000000005</v>
      </c>
      <c r="N41" s="67">
        <v>10522.050000000001</v>
      </c>
      <c r="O41" s="67">
        <v>9191.7000000000007</v>
      </c>
      <c r="P41" s="67">
        <v>10679.550000000001</v>
      </c>
      <c r="Q41" s="67">
        <v>12217.8</v>
      </c>
      <c r="R41" s="67">
        <v>15563.1</v>
      </c>
      <c r="S41" s="67">
        <v>11366.25</v>
      </c>
      <c r="T41" s="67">
        <v>18355.05</v>
      </c>
      <c r="U41" s="67">
        <v>7417.2000000000007</v>
      </c>
      <c r="V41" s="67">
        <v>14611.800000000001</v>
      </c>
      <c r="W41" s="67">
        <v>18004.350000000002</v>
      </c>
      <c r="X41" s="67">
        <v>14858.550000000003</v>
      </c>
      <c r="Y41" s="67">
        <v>16156.35</v>
      </c>
      <c r="Z41" s="67">
        <v>14923.650000000001</v>
      </c>
      <c r="AA41" s="67">
        <v>9127.65</v>
      </c>
      <c r="AB41" s="67">
        <v>10018.050000000001</v>
      </c>
      <c r="AC41" s="67">
        <v>9329.25</v>
      </c>
      <c r="AD41" s="67">
        <v>16067.1</v>
      </c>
      <c r="AE41" s="67">
        <v>17330.25</v>
      </c>
      <c r="AF41" s="67">
        <v>17869.95</v>
      </c>
      <c r="AG41" s="68">
        <v>15820.349999999999</v>
      </c>
      <c r="AR41" s="1"/>
      <c r="AS41" s="1"/>
      <c r="AT41" s="1"/>
    </row>
    <row r="42" spans="1:46" x14ac:dyDescent="0.25">
      <c r="A42" s="58">
        <v>16.5</v>
      </c>
      <c r="B42" s="66">
        <v>8543.85</v>
      </c>
      <c r="C42" s="67">
        <v>9174.9</v>
      </c>
      <c r="D42" s="67">
        <v>9529.8000000000011</v>
      </c>
      <c r="E42" s="67">
        <v>9604.35</v>
      </c>
      <c r="F42" s="67">
        <v>9682.0500000000011</v>
      </c>
      <c r="G42" s="67">
        <v>9760.8000000000011</v>
      </c>
      <c r="H42" s="67">
        <v>6595.05</v>
      </c>
      <c r="I42" s="67">
        <v>7004.5499999999993</v>
      </c>
      <c r="J42" s="67">
        <v>7039.2000000000007</v>
      </c>
      <c r="K42" s="67">
        <v>7258.6500000000015</v>
      </c>
      <c r="L42" s="67">
        <v>7751.0999999999995</v>
      </c>
      <c r="M42" s="67">
        <v>8048.25</v>
      </c>
      <c r="N42" s="67">
        <v>10759.35</v>
      </c>
      <c r="O42" s="67">
        <v>9310.35</v>
      </c>
      <c r="P42" s="67">
        <v>10962</v>
      </c>
      <c r="Q42" s="67">
        <v>12575.85</v>
      </c>
      <c r="R42" s="67">
        <v>15927.975</v>
      </c>
      <c r="S42" s="67">
        <v>11604.600000000002</v>
      </c>
      <c r="T42" s="67">
        <v>18839.625</v>
      </c>
      <c r="U42" s="67">
        <v>7613.55</v>
      </c>
      <c r="V42" s="67">
        <v>15006.599999999999</v>
      </c>
      <c r="W42" s="67">
        <v>18471.600000000002</v>
      </c>
      <c r="X42" s="67">
        <v>15244.95</v>
      </c>
      <c r="Y42" s="67">
        <v>16569</v>
      </c>
      <c r="Z42" s="67">
        <v>15443.925000000001</v>
      </c>
      <c r="AA42" s="67">
        <v>9385.9500000000007</v>
      </c>
      <c r="AB42" s="67">
        <v>10304.174999999999</v>
      </c>
      <c r="AC42" s="67">
        <v>9593.85</v>
      </c>
      <c r="AD42" s="67">
        <v>16458.225000000002</v>
      </c>
      <c r="AE42" s="67">
        <v>17793.3</v>
      </c>
      <c r="AF42" s="67">
        <v>18343.5</v>
      </c>
      <c r="AG42" s="68">
        <v>16233</v>
      </c>
      <c r="AR42" s="1"/>
      <c r="AS42" s="1"/>
      <c r="AT42" s="1"/>
    </row>
    <row r="43" spans="1:46" x14ac:dyDescent="0.25">
      <c r="A43" s="58">
        <v>17</v>
      </c>
      <c r="B43" s="66">
        <v>8722.35</v>
      </c>
      <c r="C43" s="67">
        <v>9372.3000000000011</v>
      </c>
      <c r="D43" s="67">
        <v>9735.6</v>
      </c>
      <c r="E43" s="67">
        <v>9792.3000000000011</v>
      </c>
      <c r="F43" s="67">
        <v>9872.1</v>
      </c>
      <c r="G43" s="67">
        <v>9951.9</v>
      </c>
      <c r="H43" s="67">
        <v>6766.2000000000007</v>
      </c>
      <c r="I43" s="67">
        <v>7188.2999999999993</v>
      </c>
      <c r="J43" s="67">
        <v>7220.8500000000013</v>
      </c>
      <c r="K43" s="67">
        <v>7446.6</v>
      </c>
      <c r="L43" s="67">
        <v>7954.8</v>
      </c>
      <c r="M43" s="67">
        <v>8259.3000000000011</v>
      </c>
      <c r="N43" s="67">
        <v>10952.550000000003</v>
      </c>
      <c r="O43" s="67">
        <v>9453.15</v>
      </c>
      <c r="P43" s="67">
        <v>11214</v>
      </c>
      <c r="Q43" s="67">
        <v>12926.55</v>
      </c>
      <c r="R43" s="67">
        <v>16248.75</v>
      </c>
      <c r="S43" s="67">
        <v>11798.85</v>
      </c>
      <c r="T43" s="67">
        <v>19294.8</v>
      </c>
      <c r="U43" s="67">
        <v>7767.9000000000005</v>
      </c>
      <c r="V43" s="67">
        <v>15302.7</v>
      </c>
      <c r="W43" s="67">
        <v>18904.2</v>
      </c>
      <c r="X43" s="67">
        <v>15551.55</v>
      </c>
      <c r="Y43" s="67">
        <v>16936.5</v>
      </c>
      <c r="Z43" s="67">
        <v>15737.400000000001</v>
      </c>
      <c r="AA43" s="67">
        <v>9579.15</v>
      </c>
      <c r="AB43" s="67">
        <v>10525.2</v>
      </c>
      <c r="AC43" s="67">
        <v>9793.35</v>
      </c>
      <c r="AD43" s="67">
        <v>16784.25</v>
      </c>
      <c r="AE43" s="67">
        <v>18205.95</v>
      </c>
      <c r="AF43" s="67">
        <v>18761.400000000001</v>
      </c>
      <c r="AG43" s="68">
        <v>16579.5</v>
      </c>
      <c r="AR43" s="1"/>
      <c r="AS43" s="1"/>
      <c r="AT43" s="1"/>
    </row>
    <row r="44" spans="1:46" x14ac:dyDescent="0.25">
      <c r="A44" s="58">
        <v>17.5</v>
      </c>
      <c r="B44" s="66">
        <v>8943.9</v>
      </c>
      <c r="C44" s="67">
        <v>9610.65</v>
      </c>
      <c r="D44" s="67">
        <v>9984.4500000000007</v>
      </c>
      <c r="E44" s="67">
        <v>10033.800000000001</v>
      </c>
      <c r="F44" s="67">
        <v>10115.700000000001</v>
      </c>
      <c r="G44" s="67">
        <v>10196.550000000001</v>
      </c>
      <c r="H44" s="67">
        <v>6974.1</v>
      </c>
      <c r="I44" s="67">
        <v>7406.7000000000007</v>
      </c>
      <c r="J44" s="67">
        <v>7444.5</v>
      </c>
      <c r="K44" s="67">
        <v>7676.55</v>
      </c>
      <c r="L44" s="67">
        <v>8191.05</v>
      </c>
      <c r="M44" s="67">
        <v>8503.9500000000007</v>
      </c>
      <c r="N44" s="67">
        <v>11186.7</v>
      </c>
      <c r="O44" s="67">
        <v>9634.8000000000011</v>
      </c>
      <c r="P44" s="67">
        <v>11506.949999999999</v>
      </c>
      <c r="Q44" s="67">
        <v>13284.6</v>
      </c>
      <c r="R44" s="67">
        <v>16615.725000000002</v>
      </c>
      <c r="S44" s="67">
        <v>12033</v>
      </c>
      <c r="T44" s="67">
        <v>19791.975000000002</v>
      </c>
      <c r="U44" s="67">
        <v>7957.9500000000007</v>
      </c>
      <c r="V44" s="67">
        <v>15660.75</v>
      </c>
      <c r="W44" s="67">
        <v>19367.25</v>
      </c>
      <c r="X44" s="67">
        <v>15900.150000000001</v>
      </c>
      <c r="Y44" s="67">
        <v>17344.95</v>
      </c>
      <c r="Z44" s="67">
        <v>16256.624999999998</v>
      </c>
      <c r="AA44" s="67">
        <v>9836.4</v>
      </c>
      <c r="AB44" s="67">
        <v>10810.275</v>
      </c>
      <c r="AC44" s="67">
        <v>10056.899999999998</v>
      </c>
      <c r="AD44" s="67">
        <v>17177.475000000002</v>
      </c>
      <c r="AE44" s="67">
        <v>18681.600000000002</v>
      </c>
      <c r="AF44" s="67">
        <v>19230.75</v>
      </c>
      <c r="AG44" s="68">
        <v>16987.950000000004</v>
      </c>
      <c r="AR44" s="1"/>
      <c r="AS44" s="1"/>
      <c r="AT44" s="1"/>
    </row>
    <row r="45" spans="1:46" x14ac:dyDescent="0.25">
      <c r="A45" s="58">
        <v>18</v>
      </c>
      <c r="B45" s="66">
        <v>9114</v>
      </c>
      <c r="C45" s="67">
        <v>9799.65</v>
      </c>
      <c r="D45" s="67">
        <v>10181.85</v>
      </c>
      <c r="E45" s="67">
        <v>10244.85</v>
      </c>
      <c r="F45" s="67">
        <v>10327.800000000003</v>
      </c>
      <c r="G45" s="67">
        <v>10410.75</v>
      </c>
      <c r="H45" s="67">
        <v>7138.9500000000016</v>
      </c>
      <c r="I45" s="67">
        <v>7584.1500000000005</v>
      </c>
      <c r="J45" s="67">
        <v>7626.1500000000015</v>
      </c>
      <c r="K45" s="67">
        <v>7864.5</v>
      </c>
      <c r="L45" s="67">
        <v>8397.9</v>
      </c>
      <c r="M45" s="67">
        <v>8719.2000000000007</v>
      </c>
      <c r="N45" s="67">
        <v>11382</v>
      </c>
      <c r="O45" s="67">
        <v>9778.65</v>
      </c>
      <c r="P45" s="67">
        <v>11758.95</v>
      </c>
      <c r="Q45" s="67">
        <v>13603.800000000001</v>
      </c>
      <c r="R45" s="67">
        <v>16920.75</v>
      </c>
      <c r="S45" s="67">
        <v>12228.300000000001</v>
      </c>
      <c r="T45" s="67">
        <v>20247.150000000001</v>
      </c>
      <c r="U45" s="67">
        <v>8119.6500000000005</v>
      </c>
      <c r="V45" s="67">
        <v>15968.400000000001</v>
      </c>
      <c r="W45" s="67">
        <v>19797.75</v>
      </c>
      <c r="X45" s="67">
        <v>16207.800000000001</v>
      </c>
      <c r="Y45" s="67">
        <v>17695.650000000001</v>
      </c>
      <c r="Z45" s="67">
        <v>16541.700000000004</v>
      </c>
      <c r="AA45" s="67">
        <v>10021.200000000001</v>
      </c>
      <c r="AB45" s="67">
        <v>11022.900000000003</v>
      </c>
      <c r="AC45" s="67">
        <v>10247.999999999998</v>
      </c>
      <c r="AD45" s="67">
        <v>17487.75</v>
      </c>
      <c r="AE45" s="67">
        <v>19094.25</v>
      </c>
      <c r="AF45" s="67">
        <v>19646.55</v>
      </c>
      <c r="AG45" s="68">
        <v>17317.650000000001</v>
      </c>
      <c r="AR45" s="1"/>
      <c r="AS45" s="1"/>
      <c r="AT45" s="1"/>
    </row>
    <row r="46" spans="1:46" x14ac:dyDescent="0.25">
      <c r="A46" s="58">
        <v>18.5</v>
      </c>
      <c r="B46" s="66">
        <v>9326.1</v>
      </c>
      <c r="C46" s="67">
        <v>10029.6</v>
      </c>
      <c r="D46" s="67">
        <v>10422.300000000001</v>
      </c>
      <c r="E46" s="67">
        <v>10498.949999999999</v>
      </c>
      <c r="F46" s="67">
        <v>10584</v>
      </c>
      <c r="G46" s="67">
        <v>10669.050000000001</v>
      </c>
      <c r="H46" s="67">
        <v>7347.9000000000005</v>
      </c>
      <c r="I46" s="67">
        <v>7803.5999999999995</v>
      </c>
      <c r="J46" s="67">
        <v>7847.7000000000016</v>
      </c>
      <c r="K46" s="67">
        <v>8092.3499999999995</v>
      </c>
      <c r="L46" s="67">
        <v>8638.35</v>
      </c>
      <c r="M46" s="67">
        <v>8969.1</v>
      </c>
      <c r="N46" s="67">
        <v>11617.2</v>
      </c>
      <c r="O46" s="67">
        <v>9962.4</v>
      </c>
      <c r="P46" s="67">
        <v>12050.85</v>
      </c>
      <c r="Q46" s="67">
        <v>13932.45</v>
      </c>
      <c r="R46" s="67">
        <v>17269.875</v>
      </c>
      <c r="S46" s="67">
        <v>12471.9</v>
      </c>
      <c r="T46" s="67">
        <v>20742.225000000002</v>
      </c>
      <c r="U46" s="67">
        <v>8314.9500000000007</v>
      </c>
      <c r="V46" s="67">
        <v>16317</v>
      </c>
      <c r="W46" s="67">
        <v>20271.3</v>
      </c>
      <c r="X46" s="67">
        <v>16557.45</v>
      </c>
      <c r="Y46" s="67">
        <v>18089.400000000001</v>
      </c>
      <c r="Z46" s="67">
        <v>17051.475000000002</v>
      </c>
      <c r="AA46" s="67">
        <v>10269</v>
      </c>
      <c r="AB46" s="67">
        <v>11298.525000000003</v>
      </c>
      <c r="AC46" s="67">
        <v>10502.1</v>
      </c>
      <c r="AD46" s="67">
        <v>17863.125</v>
      </c>
      <c r="AE46" s="67">
        <v>19567.8</v>
      </c>
      <c r="AF46" s="67">
        <v>20126.400000000005</v>
      </c>
      <c r="AG46" s="68">
        <v>17711.400000000001</v>
      </c>
      <c r="AR46" s="1"/>
      <c r="AS46" s="1"/>
      <c r="AT46" s="1"/>
    </row>
    <row r="47" spans="1:46" x14ac:dyDescent="0.25">
      <c r="A47" s="58">
        <v>19</v>
      </c>
      <c r="B47" s="66">
        <v>9518.25</v>
      </c>
      <c r="C47" s="67">
        <v>10239.6</v>
      </c>
      <c r="D47" s="67">
        <v>10641.75</v>
      </c>
      <c r="E47" s="67">
        <v>10708.95</v>
      </c>
      <c r="F47" s="67">
        <v>10796.1</v>
      </c>
      <c r="G47" s="67">
        <v>10882.199999999999</v>
      </c>
      <c r="H47" s="67">
        <v>7546.35</v>
      </c>
      <c r="I47" s="67">
        <v>7985.25</v>
      </c>
      <c r="J47" s="67">
        <v>8027.25</v>
      </c>
      <c r="K47" s="67">
        <v>8278.2000000000007</v>
      </c>
      <c r="L47" s="67">
        <v>8839.9500000000007</v>
      </c>
      <c r="M47" s="67">
        <v>9179.1</v>
      </c>
      <c r="N47" s="67">
        <v>11808.300000000001</v>
      </c>
      <c r="O47" s="67">
        <v>10106.249999999998</v>
      </c>
      <c r="P47" s="67">
        <v>12302.849999999999</v>
      </c>
      <c r="Q47" s="67">
        <v>14291.55</v>
      </c>
      <c r="R47" s="67">
        <v>17585.400000000001</v>
      </c>
      <c r="S47" s="67">
        <v>12665.1</v>
      </c>
      <c r="T47" s="67">
        <v>21197.4</v>
      </c>
      <c r="U47" s="67">
        <v>8468.25</v>
      </c>
      <c r="V47" s="67">
        <v>16623.600000000002</v>
      </c>
      <c r="W47" s="67">
        <v>20701.8</v>
      </c>
      <c r="X47" s="67">
        <v>16864.05</v>
      </c>
      <c r="Y47" s="67">
        <v>18482.100000000002</v>
      </c>
      <c r="Z47" s="67">
        <v>17358.600000000002</v>
      </c>
      <c r="AA47" s="67">
        <v>10475.85</v>
      </c>
      <c r="AB47" s="67">
        <v>11533.2</v>
      </c>
      <c r="AC47" s="67">
        <v>10715.250000000002</v>
      </c>
      <c r="AD47" s="67">
        <v>18183.900000000001</v>
      </c>
      <c r="AE47" s="67">
        <v>19980.45</v>
      </c>
      <c r="AF47" s="67">
        <v>20542.2</v>
      </c>
      <c r="AG47" s="68">
        <v>18083.100000000002</v>
      </c>
      <c r="AR47" s="1"/>
      <c r="AS47" s="1"/>
      <c r="AT47" s="1"/>
    </row>
    <row r="48" spans="1:46" x14ac:dyDescent="0.25">
      <c r="A48" s="58">
        <v>19.5</v>
      </c>
      <c r="B48" s="66">
        <v>9753.4500000000007</v>
      </c>
      <c r="C48" s="67">
        <v>10492.65</v>
      </c>
      <c r="D48" s="67">
        <v>10905.300000000001</v>
      </c>
      <c r="E48" s="67">
        <v>10967.249999999998</v>
      </c>
      <c r="F48" s="67">
        <v>11056.5</v>
      </c>
      <c r="G48" s="67">
        <v>11144.7</v>
      </c>
      <c r="H48" s="67">
        <v>7787.85</v>
      </c>
      <c r="I48" s="67">
        <v>8207.85</v>
      </c>
      <c r="J48" s="67">
        <v>8245.65</v>
      </c>
      <c r="K48" s="67">
        <v>8501.85</v>
      </c>
      <c r="L48" s="67">
        <v>9084.6</v>
      </c>
      <c r="M48" s="67">
        <v>9431.1</v>
      </c>
      <c r="N48" s="67">
        <v>12044.550000000001</v>
      </c>
      <c r="O48" s="67">
        <v>10291.050000000001</v>
      </c>
      <c r="P48" s="67">
        <v>12595.800000000001</v>
      </c>
      <c r="Q48" s="67">
        <v>14654.85</v>
      </c>
      <c r="R48" s="67">
        <v>17937.674999999999</v>
      </c>
      <c r="S48" s="67">
        <v>12909.750000000002</v>
      </c>
      <c r="T48" s="67">
        <v>21695.625000000004</v>
      </c>
      <c r="U48" s="67">
        <v>8669.85</v>
      </c>
      <c r="V48" s="67">
        <v>16979.55</v>
      </c>
      <c r="W48" s="67">
        <v>21166.95</v>
      </c>
      <c r="X48" s="67">
        <v>17212.650000000001</v>
      </c>
      <c r="Y48" s="67">
        <v>18917.850000000002</v>
      </c>
      <c r="Z48" s="67">
        <v>17891.475000000002</v>
      </c>
      <c r="AA48" s="67">
        <v>10746.75</v>
      </c>
      <c r="AB48" s="67">
        <v>11831.925000000001</v>
      </c>
      <c r="AC48" s="67">
        <v>10992.45</v>
      </c>
      <c r="AD48" s="67">
        <v>18562.424999999999</v>
      </c>
      <c r="AE48" s="67">
        <v>20457.150000000001</v>
      </c>
      <c r="AF48" s="67">
        <v>21013.65</v>
      </c>
      <c r="AG48" s="68">
        <v>18518.850000000002</v>
      </c>
      <c r="AR48" s="1"/>
      <c r="AS48" s="1"/>
      <c r="AT48" s="1"/>
    </row>
    <row r="49" spans="1:46" ht="15.75" thickBot="1" x14ac:dyDescent="0.3">
      <c r="A49" s="59">
        <v>20</v>
      </c>
      <c r="B49" s="69">
        <v>9926.6999999999989</v>
      </c>
      <c r="C49" s="70">
        <v>10684.800000000003</v>
      </c>
      <c r="D49" s="70">
        <v>11106.9</v>
      </c>
      <c r="E49" s="70">
        <v>11173.050000000001</v>
      </c>
      <c r="F49" s="70">
        <v>11263.35</v>
      </c>
      <c r="G49" s="70">
        <v>11353.650000000003</v>
      </c>
      <c r="H49" s="70">
        <v>7955.8500000000013</v>
      </c>
      <c r="I49" s="70">
        <v>8386.35</v>
      </c>
      <c r="J49" s="70">
        <v>8429.4</v>
      </c>
      <c r="K49" s="70">
        <v>8692.9500000000007</v>
      </c>
      <c r="L49" s="70">
        <v>9285.15</v>
      </c>
      <c r="M49" s="70">
        <v>9640.0500000000011</v>
      </c>
      <c r="N49" s="70">
        <v>12237.75</v>
      </c>
      <c r="O49" s="70">
        <v>10430.699999999999</v>
      </c>
      <c r="P49" s="70">
        <v>12839.4</v>
      </c>
      <c r="Q49" s="70">
        <v>14979.300000000001</v>
      </c>
      <c r="R49" s="70">
        <v>18252.150000000001</v>
      </c>
      <c r="S49" s="70">
        <v>13106.1</v>
      </c>
      <c r="T49" s="70">
        <v>22138.199999999997</v>
      </c>
      <c r="U49" s="70">
        <v>8817.9</v>
      </c>
      <c r="V49" s="70">
        <v>17281.95</v>
      </c>
      <c r="W49" s="70">
        <v>21580.649999999998</v>
      </c>
      <c r="X49" s="70">
        <v>17519.25</v>
      </c>
      <c r="Y49" s="70">
        <v>19275.900000000001</v>
      </c>
      <c r="Z49" s="70">
        <v>18179.7</v>
      </c>
      <c r="AA49" s="70">
        <v>10934.700000000003</v>
      </c>
      <c r="AB49" s="70">
        <v>12047.7</v>
      </c>
      <c r="AC49" s="70">
        <v>11186.7</v>
      </c>
      <c r="AD49" s="70">
        <v>18882.150000000001</v>
      </c>
      <c r="AE49" s="70">
        <v>20857.2</v>
      </c>
      <c r="AF49" s="70">
        <v>21412.649999999998</v>
      </c>
      <c r="AG49" s="71">
        <v>18855.900000000001</v>
      </c>
      <c r="AR49" s="1"/>
      <c r="AS49" s="1"/>
      <c r="AT49" s="1"/>
    </row>
    <row r="50" spans="1:46" x14ac:dyDescent="0.25">
      <c r="A50" s="60" t="s">
        <v>97</v>
      </c>
      <c r="B50" s="63">
        <v>463.05</v>
      </c>
      <c r="C50" s="64">
        <v>500.84999999999997</v>
      </c>
      <c r="D50" s="64">
        <v>520.80000000000007</v>
      </c>
      <c r="E50" s="64">
        <v>498.75</v>
      </c>
      <c r="F50" s="64">
        <v>519.75</v>
      </c>
      <c r="G50" s="64">
        <v>519.75</v>
      </c>
      <c r="H50" s="64">
        <v>370.65000000000003</v>
      </c>
      <c r="I50" s="64">
        <v>390.6</v>
      </c>
      <c r="J50" s="64">
        <v>391.65</v>
      </c>
      <c r="K50" s="64">
        <v>397.95</v>
      </c>
      <c r="L50" s="64">
        <v>417.9</v>
      </c>
      <c r="M50" s="64">
        <v>425.25</v>
      </c>
      <c r="N50" s="64">
        <v>798</v>
      </c>
      <c r="O50" s="64">
        <v>549.15</v>
      </c>
      <c r="P50" s="64">
        <v>617.4</v>
      </c>
      <c r="Q50" s="64">
        <v>711.89999999999986</v>
      </c>
      <c r="R50" s="64">
        <v>844.19999999999993</v>
      </c>
      <c r="S50" s="64">
        <v>578.55000000000007</v>
      </c>
      <c r="T50" s="64">
        <v>1052.1000000000001</v>
      </c>
      <c r="U50" s="64">
        <v>474.59999999999997</v>
      </c>
      <c r="V50" s="64">
        <v>824.25</v>
      </c>
      <c r="W50" s="64">
        <v>1045.8</v>
      </c>
      <c r="X50" s="64">
        <v>977.55000000000007</v>
      </c>
      <c r="Y50" s="64">
        <v>1101.45</v>
      </c>
      <c r="Z50" s="64">
        <v>875.7</v>
      </c>
      <c r="AA50" s="64">
        <v>513.45000000000005</v>
      </c>
      <c r="AB50" s="64">
        <v>569.1</v>
      </c>
      <c r="AC50" s="64">
        <v>526.05000000000007</v>
      </c>
      <c r="AD50" s="64">
        <v>875.7</v>
      </c>
      <c r="AE50" s="64">
        <v>988.05000000000007</v>
      </c>
      <c r="AF50" s="64">
        <v>1037.4000000000001</v>
      </c>
      <c r="AG50" s="65">
        <v>1080.45</v>
      </c>
      <c r="AR50" s="1"/>
      <c r="AS50" s="1"/>
      <c r="AT50" s="1"/>
    </row>
    <row r="51" spans="1:46" x14ac:dyDescent="0.25">
      <c r="A51" s="61" t="s">
        <v>98</v>
      </c>
      <c r="B51" s="66">
        <v>463.05</v>
      </c>
      <c r="C51" s="67">
        <v>500.84999999999997</v>
      </c>
      <c r="D51" s="67">
        <v>520.80000000000007</v>
      </c>
      <c r="E51" s="67">
        <v>496.65</v>
      </c>
      <c r="F51" s="67">
        <v>519.75</v>
      </c>
      <c r="G51" s="67">
        <v>519.75</v>
      </c>
      <c r="H51" s="67">
        <v>370.65000000000003</v>
      </c>
      <c r="I51" s="67">
        <v>390.6</v>
      </c>
      <c r="J51" s="67">
        <v>391.65</v>
      </c>
      <c r="K51" s="67">
        <v>397.95</v>
      </c>
      <c r="L51" s="67">
        <v>414.75</v>
      </c>
      <c r="M51" s="67">
        <v>425.25</v>
      </c>
      <c r="N51" s="67">
        <v>798</v>
      </c>
      <c r="O51" s="67">
        <v>554.4</v>
      </c>
      <c r="P51" s="67">
        <v>617.4</v>
      </c>
      <c r="Q51" s="67">
        <v>711.89999999999986</v>
      </c>
      <c r="R51" s="67">
        <v>844.19999999999993</v>
      </c>
      <c r="S51" s="67">
        <v>578.55000000000007</v>
      </c>
      <c r="T51" s="67">
        <v>1052.1000000000001</v>
      </c>
      <c r="U51" s="67">
        <v>474.59999999999997</v>
      </c>
      <c r="V51" s="67">
        <v>824.25</v>
      </c>
      <c r="W51" s="67">
        <v>1045.8</v>
      </c>
      <c r="X51" s="67">
        <v>977.55000000000007</v>
      </c>
      <c r="Y51" s="67">
        <v>1101.45</v>
      </c>
      <c r="Z51" s="67">
        <v>875.7</v>
      </c>
      <c r="AA51" s="67">
        <v>513.45000000000005</v>
      </c>
      <c r="AB51" s="67">
        <v>569.1</v>
      </c>
      <c r="AC51" s="67">
        <v>526.05000000000007</v>
      </c>
      <c r="AD51" s="67">
        <v>875.7</v>
      </c>
      <c r="AE51" s="67">
        <v>988.05000000000007</v>
      </c>
      <c r="AF51" s="67">
        <v>1037.4000000000001</v>
      </c>
      <c r="AG51" s="68">
        <v>1080.45</v>
      </c>
      <c r="AR51" s="1"/>
      <c r="AS51" s="1"/>
      <c r="AT51" s="1"/>
    </row>
    <row r="52" spans="1:46" x14ac:dyDescent="0.25">
      <c r="A52" s="61" t="s">
        <v>100</v>
      </c>
      <c r="B52" s="66">
        <v>432.6</v>
      </c>
      <c r="C52" s="67">
        <v>469.35000000000008</v>
      </c>
      <c r="D52" s="67">
        <v>489.3</v>
      </c>
      <c r="E52" s="67">
        <v>493.5</v>
      </c>
      <c r="F52" s="67">
        <v>519.75</v>
      </c>
      <c r="G52" s="67">
        <v>519.75</v>
      </c>
      <c r="H52" s="67">
        <v>371.7</v>
      </c>
      <c r="I52" s="67">
        <v>376.95</v>
      </c>
      <c r="J52" s="67">
        <v>392.7</v>
      </c>
      <c r="K52" s="67">
        <v>399</v>
      </c>
      <c r="L52" s="67">
        <v>403.20000000000005</v>
      </c>
      <c r="M52" s="67">
        <v>426.29999999999995</v>
      </c>
      <c r="N52" s="67">
        <v>856.80000000000007</v>
      </c>
      <c r="O52" s="67">
        <v>494.55</v>
      </c>
      <c r="P52" s="67">
        <v>612.15</v>
      </c>
      <c r="Q52" s="67">
        <v>711.89999999999986</v>
      </c>
      <c r="R52" s="67">
        <v>752.85</v>
      </c>
      <c r="S52" s="67">
        <v>515.55000000000007</v>
      </c>
      <c r="T52" s="67">
        <v>1114.05</v>
      </c>
      <c r="U52" s="67">
        <v>443.10000000000008</v>
      </c>
      <c r="V52" s="67">
        <v>700.35</v>
      </c>
      <c r="W52" s="67">
        <v>914.55</v>
      </c>
      <c r="X52" s="67">
        <v>853.65000000000009</v>
      </c>
      <c r="Y52" s="67">
        <v>1029</v>
      </c>
      <c r="Z52" s="67">
        <v>845.25</v>
      </c>
      <c r="AA52" s="67">
        <v>482.99999999999994</v>
      </c>
      <c r="AB52" s="67">
        <v>538.65</v>
      </c>
      <c r="AC52" s="67">
        <v>495.60000000000008</v>
      </c>
      <c r="AD52" s="67">
        <v>784.35</v>
      </c>
      <c r="AE52" s="67">
        <v>1050</v>
      </c>
      <c r="AF52" s="67">
        <v>906.15000000000009</v>
      </c>
      <c r="AG52" s="68">
        <v>1008</v>
      </c>
      <c r="AR52" s="1"/>
      <c r="AS52" s="1"/>
      <c r="AT52" s="1"/>
    </row>
    <row r="53" spans="1:46" x14ac:dyDescent="0.25">
      <c r="A53" s="61" t="s">
        <v>102</v>
      </c>
      <c r="B53" s="66">
        <v>432.6</v>
      </c>
      <c r="C53" s="67">
        <v>469.35000000000008</v>
      </c>
      <c r="D53" s="67">
        <v>489.3</v>
      </c>
      <c r="E53" s="67">
        <v>480.90000000000003</v>
      </c>
      <c r="F53" s="67">
        <v>509.24999999999994</v>
      </c>
      <c r="G53" s="67">
        <v>509.24999999999994</v>
      </c>
      <c r="H53" s="67">
        <v>337.05</v>
      </c>
      <c r="I53" s="67">
        <v>337.05</v>
      </c>
      <c r="J53" s="67">
        <v>339.15000000000003</v>
      </c>
      <c r="K53" s="67">
        <v>345.4500000000001</v>
      </c>
      <c r="L53" s="67">
        <v>364.34999999999997</v>
      </c>
      <c r="M53" s="67">
        <v>385.35</v>
      </c>
      <c r="N53" s="67">
        <v>890.40000000000009</v>
      </c>
      <c r="O53" s="67">
        <v>638.4</v>
      </c>
      <c r="P53" s="67">
        <v>612.15</v>
      </c>
      <c r="Q53" s="67">
        <v>711.89999999999986</v>
      </c>
      <c r="R53" s="67">
        <v>798</v>
      </c>
      <c r="S53" s="67">
        <v>666.74999999999989</v>
      </c>
      <c r="T53" s="67">
        <v>1148.7</v>
      </c>
      <c r="U53" s="67">
        <v>426.29999999999995</v>
      </c>
      <c r="V53" s="67">
        <v>830.55000000000007</v>
      </c>
      <c r="W53" s="67">
        <v>1097.25</v>
      </c>
      <c r="X53" s="67">
        <v>853.65000000000009</v>
      </c>
      <c r="Y53" s="67">
        <v>1029</v>
      </c>
      <c r="Z53" s="67">
        <v>845.25</v>
      </c>
      <c r="AA53" s="67">
        <v>482.99999999999994</v>
      </c>
      <c r="AB53" s="67">
        <v>538.65</v>
      </c>
      <c r="AC53" s="67">
        <v>495.60000000000008</v>
      </c>
      <c r="AD53" s="67">
        <v>829.5</v>
      </c>
      <c r="AE53" s="67">
        <v>1084.6500000000001</v>
      </c>
      <c r="AF53" s="67">
        <v>1088.8500000000001</v>
      </c>
      <c r="AG53" s="68">
        <v>1008</v>
      </c>
      <c r="AR53" s="1"/>
      <c r="AS53" s="1"/>
      <c r="AT53" s="1"/>
    </row>
    <row r="54" spans="1:46" x14ac:dyDescent="0.25">
      <c r="A54" s="61" t="s">
        <v>103</v>
      </c>
      <c r="B54" s="66">
        <v>420</v>
      </c>
      <c r="C54" s="67">
        <v>456.74999999999994</v>
      </c>
      <c r="D54" s="67">
        <v>476.70000000000005</v>
      </c>
      <c r="E54" s="67">
        <v>476.70000000000005</v>
      </c>
      <c r="F54" s="67">
        <v>509.24999999999994</v>
      </c>
      <c r="G54" s="67">
        <v>509.24999999999994</v>
      </c>
      <c r="H54" s="67">
        <v>330.75</v>
      </c>
      <c r="I54" s="67">
        <v>330.75</v>
      </c>
      <c r="J54" s="67">
        <v>339.15000000000003</v>
      </c>
      <c r="K54" s="67">
        <v>333.90000000000009</v>
      </c>
      <c r="L54" s="67">
        <v>364.34999999999997</v>
      </c>
      <c r="M54" s="67">
        <v>385.35</v>
      </c>
      <c r="N54" s="67">
        <v>866.25</v>
      </c>
      <c r="O54" s="67">
        <v>618.45000000000005</v>
      </c>
      <c r="P54" s="67">
        <v>616.35</v>
      </c>
      <c r="Q54" s="67">
        <v>711.89999999999986</v>
      </c>
      <c r="R54" s="67">
        <v>853.65000000000009</v>
      </c>
      <c r="S54" s="67">
        <v>644.69999999999993</v>
      </c>
      <c r="T54" s="67">
        <v>1123.5</v>
      </c>
      <c r="U54" s="67">
        <v>412.65000000000009</v>
      </c>
      <c r="V54" s="67">
        <v>847.35</v>
      </c>
      <c r="W54" s="67">
        <v>1074.1500000000001</v>
      </c>
      <c r="X54" s="67">
        <v>778.05000000000007</v>
      </c>
      <c r="Y54" s="67">
        <v>998.55000000000007</v>
      </c>
      <c r="Z54" s="67">
        <v>832.65000000000009</v>
      </c>
      <c r="AA54" s="67">
        <v>470.4</v>
      </c>
      <c r="AB54" s="67">
        <v>526.05000000000007</v>
      </c>
      <c r="AC54" s="67">
        <v>482.99999999999994</v>
      </c>
      <c r="AD54" s="67">
        <v>885.15000000000009</v>
      </c>
      <c r="AE54" s="67">
        <v>1059.45</v>
      </c>
      <c r="AF54" s="67">
        <v>1065.75</v>
      </c>
      <c r="AG54" s="68">
        <v>977.55000000000007</v>
      </c>
      <c r="AR54" s="1"/>
      <c r="AS54" s="1"/>
      <c r="AT54" s="1"/>
    </row>
    <row r="55" spans="1:46" x14ac:dyDescent="0.25">
      <c r="A55" s="61" t="s">
        <v>106</v>
      </c>
      <c r="B55" s="66">
        <v>420</v>
      </c>
      <c r="C55" s="67">
        <v>456.74999999999994</v>
      </c>
      <c r="D55" s="67">
        <v>476.70000000000005</v>
      </c>
      <c r="E55" s="67">
        <v>476.70000000000005</v>
      </c>
      <c r="F55" s="67">
        <v>509.24999999999994</v>
      </c>
      <c r="G55" s="67">
        <v>509.24999999999994</v>
      </c>
      <c r="H55" s="67">
        <v>330.75</v>
      </c>
      <c r="I55" s="67">
        <v>330.75</v>
      </c>
      <c r="J55" s="67">
        <v>339.15000000000003</v>
      </c>
      <c r="K55" s="67">
        <v>328.65000000000003</v>
      </c>
      <c r="L55" s="67">
        <v>364.34999999999997</v>
      </c>
      <c r="M55" s="67">
        <v>385.35</v>
      </c>
      <c r="N55" s="67">
        <v>882</v>
      </c>
      <c r="O55" s="67">
        <v>620.55000000000007</v>
      </c>
      <c r="P55" s="67">
        <v>616.35</v>
      </c>
      <c r="Q55" s="67">
        <v>709.80000000000007</v>
      </c>
      <c r="R55" s="67">
        <v>851.55000000000018</v>
      </c>
      <c r="S55" s="67">
        <v>647.85</v>
      </c>
      <c r="T55" s="67">
        <v>1140.3</v>
      </c>
      <c r="U55" s="67">
        <v>429.45000000000005</v>
      </c>
      <c r="V55" s="67">
        <v>904.05000000000018</v>
      </c>
      <c r="W55" s="67">
        <v>1090.95</v>
      </c>
      <c r="X55" s="67">
        <v>778.05000000000007</v>
      </c>
      <c r="Y55" s="67">
        <v>998.55000000000007</v>
      </c>
      <c r="Z55" s="67">
        <v>832.65000000000009</v>
      </c>
      <c r="AA55" s="67">
        <v>470.4</v>
      </c>
      <c r="AB55" s="67">
        <v>526.05000000000007</v>
      </c>
      <c r="AC55" s="67">
        <v>482.99999999999994</v>
      </c>
      <c r="AD55" s="67">
        <v>883.05000000000007</v>
      </c>
      <c r="AE55" s="67">
        <v>1076.25</v>
      </c>
      <c r="AF55" s="67">
        <v>1082.55</v>
      </c>
      <c r="AG55" s="68">
        <v>977.55000000000007</v>
      </c>
      <c r="AR55" s="1"/>
      <c r="AS55" s="1"/>
      <c r="AT55" s="1"/>
    </row>
    <row r="56" spans="1:46" x14ac:dyDescent="0.25">
      <c r="A56" s="61" t="s">
        <v>109</v>
      </c>
      <c r="B56" s="66">
        <v>420</v>
      </c>
      <c r="C56" s="67">
        <v>456.74999999999994</v>
      </c>
      <c r="D56" s="67">
        <v>476.70000000000005</v>
      </c>
      <c r="E56" s="67">
        <v>476.70000000000005</v>
      </c>
      <c r="F56" s="67">
        <v>509.24999999999994</v>
      </c>
      <c r="G56" s="67">
        <v>509.24999999999994</v>
      </c>
      <c r="H56" s="67">
        <v>330.75</v>
      </c>
      <c r="I56" s="67">
        <v>330.75</v>
      </c>
      <c r="J56" s="67">
        <v>339.15000000000003</v>
      </c>
      <c r="K56" s="67">
        <v>324.45</v>
      </c>
      <c r="L56" s="67">
        <v>364.34999999999997</v>
      </c>
      <c r="M56" s="67">
        <v>385.35</v>
      </c>
      <c r="N56" s="67">
        <v>890.40000000000009</v>
      </c>
      <c r="O56" s="67">
        <v>643.65</v>
      </c>
      <c r="P56" s="67">
        <v>616.35</v>
      </c>
      <c r="Q56" s="67">
        <v>708.75000000000011</v>
      </c>
      <c r="R56" s="67">
        <v>853.65000000000009</v>
      </c>
      <c r="S56" s="67">
        <v>670.94999999999993</v>
      </c>
      <c r="T56" s="67">
        <v>1148.7</v>
      </c>
      <c r="U56" s="67">
        <v>430.50000000000006</v>
      </c>
      <c r="V56" s="67">
        <v>928.2</v>
      </c>
      <c r="W56" s="67">
        <v>1109.8500000000001</v>
      </c>
      <c r="X56" s="67">
        <v>778.05000000000007</v>
      </c>
      <c r="Y56" s="67">
        <v>998.55000000000007</v>
      </c>
      <c r="Z56" s="67">
        <v>832.65000000000009</v>
      </c>
      <c r="AA56" s="67">
        <v>470.4</v>
      </c>
      <c r="AB56" s="67">
        <v>526.05000000000007</v>
      </c>
      <c r="AC56" s="67">
        <v>482.99999999999994</v>
      </c>
      <c r="AD56" s="67">
        <v>885.15000000000009</v>
      </c>
      <c r="AE56" s="67">
        <v>1084.6500000000001</v>
      </c>
      <c r="AF56" s="67">
        <v>1101.45</v>
      </c>
      <c r="AG56" s="68">
        <v>977.55000000000007</v>
      </c>
      <c r="AR56" s="1"/>
      <c r="AS56" s="1"/>
      <c r="AT56" s="1"/>
    </row>
    <row r="57" spans="1:46" ht="15.75" thickBot="1" x14ac:dyDescent="0.3">
      <c r="A57" s="62" t="s">
        <v>112</v>
      </c>
      <c r="B57" s="72">
        <v>420</v>
      </c>
      <c r="C57" s="73">
        <v>456.74999999999994</v>
      </c>
      <c r="D57" s="73">
        <v>476.70000000000005</v>
      </c>
      <c r="E57" s="73">
        <v>476.70000000000005</v>
      </c>
      <c r="F57" s="73">
        <v>509.24999999999994</v>
      </c>
      <c r="G57" s="73">
        <v>509.24999999999994</v>
      </c>
      <c r="H57" s="73">
        <v>330.75</v>
      </c>
      <c r="I57" s="73">
        <v>330.75</v>
      </c>
      <c r="J57" s="73">
        <v>339.15000000000003</v>
      </c>
      <c r="K57" s="73">
        <v>320.24999999999994</v>
      </c>
      <c r="L57" s="73">
        <v>364.34999999999997</v>
      </c>
      <c r="M57" s="73">
        <v>385.35</v>
      </c>
      <c r="N57" s="73">
        <v>890.40000000000009</v>
      </c>
      <c r="O57" s="73">
        <v>680.39999999999986</v>
      </c>
      <c r="P57" s="73">
        <v>616.35</v>
      </c>
      <c r="Q57" s="73">
        <v>706.64999999999986</v>
      </c>
      <c r="R57" s="73">
        <v>864.15000000000009</v>
      </c>
      <c r="S57" s="73">
        <v>709.80000000000007</v>
      </c>
      <c r="T57" s="73">
        <v>1148.7</v>
      </c>
      <c r="U57" s="73">
        <v>435.75</v>
      </c>
      <c r="V57" s="73">
        <v>957.59999999999991</v>
      </c>
      <c r="W57" s="73">
        <v>1123.5</v>
      </c>
      <c r="X57" s="73">
        <v>778.05000000000007</v>
      </c>
      <c r="Y57" s="73">
        <v>998.55000000000007</v>
      </c>
      <c r="Z57" s="73">
        <v>832.65000000000009</v>
      </c>
      <c r="AA57" s="73">
        <v>470.4</v>
      </c>
      <c r="AB57" s="73">
        <v>526.05000000000007</v>
      </c>
      <c r="AC57" s="73">
        <v>482.99999999999994</v>
      </c>
      <c r="AD57" s="73">
        <v>895.6500000000002</v>
      </c>
      <c r="AE57" s="73">
        <v>1084.6500000000001</v>
      </c>
      <c r="AF57" s="73">
        <v>1115.1000000000001</v>
      </c>
      <c r="AG57" s="74">
        <v>977.55000000000007</v>
      </c>
      <c r="AH57" s="52"/>
      <c r="AR57" s="1"/>
      <c r="AS57" s="1"/>
      <c r="AT57" s="1"/>
    </row>
    <row r="58" spans="1:46" x14ac:dyDescent="0.25">
      <c r="AR58" s="1"/>
      <c r="AS58" s="1"/>
      <c r="AT58" s="1"/>
    </row>
    <row r="60" spans="1:46" x14ac:dyDescent="0.25">
      <c r="A60" s="3" t="s">
        <v>0</v>
      </c>
    </row>
    <row r="61" spans="1:46" x14ac:dyDescent="0.25">
      <c r="A61" s="4" t="s">
        <v>1</v>
      </c>
    </row>
    <row r="62" spans="1:46" x14ac:dyDescent="0.25">
      <c r="A62" s="6" t="s">
        <v>35</v>
      </c>
    </row>
    <row r="63" spans="1:46" x14ac:dyDescent="0.25">
      <c r="A63" s="6" t="s">
        <v>44</v>
      </c>
    </row>
    <row r="64" spans="1:46" x14ac:dyDescent="0.25">
      <c r="A64" s="6" t="s">
        <v>52</v>
      </c>
    </row>
    <row r="65" spans="1:1" x14ac:dyDescent="0.25">
      <c r="A65" s="6" t="s">
        <v>56</v>
      </c>
    </row>
    <row r="66" spans="1:1" x14ac:dyDescent="0.25">
      <c r="A66" s="6" t="s">
        <v>58</v>
      </c>
    </row>
    <row r="67" spans="1:1" x14ac:dyDescent="0.25">
      <c r="A67" s="9" t="s">
        <v>59</v>
      </c>
    </row>
    <row r="68" spans="1:1" x14ac:dyDescent="0.25">
      <c r="A68" s="10" t="s">
        <v>60</v>
      </c>
    </row>
    <row r="69" spans="1:1" x14ac:dyDescent="0.25">
      <c r="A69" s="11" t="s">
        <v>61</v>
      </c>
    </row>
    <row r="70" spans="1:1" x14ac:dyDescent="0.25">
      <c r="A70" s="11" t="s">
        <v>62</v>
      </c>
    </row>
    <row r="71" spans="1:1" x14ac:dyDescent="0.25">
      <c r="A71" s="10" t="s">
        <v>63</v>
      </c>
    </row>
    <row r="72" spans="1:1" x14ac:dyDescent="0.25">
      <c r="A72" s="10" t="s">
        <v>64</v>
      </c>
    </row>
    <row r="73" spans="1:1" x14ac:dyDescent="0.25">
      <c r="A73" s="10" t="s">
        <v>65</v>
      </c>
    </row>
    <row r="74" spans="1:1" x14ac:dyDescent="0.25">
      <c r="A74" s="12" t="s">
        <v>66</v>
      </c>
    </row>
    <row r="75" spans="1:1" x14ac:dyDescent="0.25">
      <c r="A75" s="13" t="s">
        <v>67</v>
      </c>
    </row>
    <row r="76" spans="1:1" x14ac:dyDescent="0.25">
      <c r="A76" s="14" t="s">
        <v>68</v>
      </c>
    </row>
    <row r="77" spans="1:1" x14ac:dyDescent="0.25">
      <c r="A77" s="2" t="s">
        <v>69</v>
      </c>
    </row>
    <row r="78" spans="1:1" x14ac:dyDescent="0.25">
      <c r="A78" s="15" t="s">
        <v>70</v>
      </c>
    </row>
    <row r="79" spans="1:1" x14ac:dyDescent="0.25">
      <c r="A79" s="12" t="s">
        <v>71</v>
      </c>
    </row>
    <row r="80" spans="1:1" x14ac:dyDescent="0.25">
      <c r="A80" s="16" t="s">
        <v>72</v>
      </c>
    </row>
    <row r="81" spans="1:1" x14ac:dyDescent="0.25">
      <c r="A81" s="6" t="s">
        <v>73</v>
      </c>
    </row>
    <row r="82" spans="1:1" x14ac:dyDescent="0.25">
      <c r="A82" s="6" t="s">
        <v>74</v>
      </c>
    </row>
    <row r="83" spans="1:1" x14ac:dyDescent="0.25">
      <c r="A83" s="17" t="s">
        <v>75</v>
      </c>
    </row>
    <row r="84" spans="1:1" x14ac:dyDescent="0.25">
      <c r="A84" s="20" t="s">
        <v>76</v>
      </c>
    </row>
    <row r="85" spans="1:1" x14ac:dyDescent="0.25">
      <c r="A85" s="21" t="s">
        <v>77</v>
      </c>
    </row>
    <row r="86" spans="1:1" x14ac:dyDescent="0.25">
      <c r="A86" t="s">
        <v>78</v>
      </c>
    </row>
  </sheetData>
  <sheetProtection algorithmName="SHA-512" hashValue="/rujka/Be0RPv1uJtZ+y9Q9EtDi8+RWe5GtKEyWbckPS4lQTxFOmn9sdNaRM+PyYUlfmJ17MWOEAPfibHbk7BA==" saltValue="xI6mhdDxv5vH9V1Dnr050Q==" spinCount="100000" sheet="1" objects="1" scenarios="1"/>
  <mergeCells count="1">
    <mergeCell ref="B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COST_UPS SAVER (Allin)</vt:lpstr>
      <vt:lpstr>COST_UPS SAVER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2026-05-25T15:50:26Z</dcterms:modified>
</cp:coreProperties>
</file>